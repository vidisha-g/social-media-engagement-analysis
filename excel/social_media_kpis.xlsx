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is\OneDrive\Desktop\social_media_analysis_project\excel\"/>
    </mc:Choice>
  </mc:AlternateContent>
  <xr:revisionPtr revIDLastSave="0" documentId="13_ncr:1_{5DC36CBF-A584-4A24-9126-E470C130A768}" xr6:coauthVersionLast="47" xr6:coauthVersionMax="47" xr10:uidLastSave="{00000000-0000-0000-0000-000000000000}"/>
  <bookViews>
    <workbookView xWindow="-110" yWindow="-110" windowWidth="19420" windowHeight="11500" activeTab="2" xr2:uid="{D0883967-5CF2-48C7-A286-915E276CDFDF}"/>
  </bookViews>
  <sheets>
    <sheet name="raw_data" sheetId="1" r:id="rId1"/>
    <sheet name="KPIs" sheetId="2" r:id="rId2"/>
    <sheet name="pivots" sheetId="7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</calcChain>
</file>

<file path=xl/sharedStrings.xml><?xml version="1.0" encoding="utf-8"?>
<sst xmlns="http://schemas.openxmlformats.org/spreadsheetml/2006/main" count="6039" uniqueCount="43">
  <si>
    <t>post_id</t>
  </si>
  <si>
    <t>platform</t>
  </si>
  <si>
    <t>post_type</t>
  </si>
  <si>
    <t>post_date</t>
  </si>
  <si>
    <t>day_of_week</t>
  </si>
  <si>
    <t>posting_hour</t>
  </si>
  <si>
    <t>caption_length</t>
  </si>
  <si>
    <t>hashtags_count</t>
  </si>
  <si>
    <t>likes</t>
  </si>
  <si>
    <t>comments</t>
  </si>
  <si>
    <t>shares</t>
  </si>
  <si>
    <t>saves</t>
  </si>
  <si>
    <t>engagement_rate</t>
  </si>
  <si>
    <t>performance_label</t>
  </si>
  <si>
    <t>is viral</t>
  </si>
  <si>
    <t>Instagram</t>
  </si>
  <si>
    <t>Reel</t>
  </si>
  <si>
    <t>Tuesday</t>
  </si>
  <si>
    <t>high</t>
  </si>
  <si>
    <t>Carousel</t>
  </si>
  <si>
    <t>Sunday</t>
  </si>
  <si>
    <t>average</t>
  </si>
  <si>
    <t>Facebook</t>
  </si>
  <si>
    <t>low</t>
  </si>
  <si>
    <t>Image</t>
  </si>
  <si>
    <t>Wednesday</t>
  </si>
  <si>
    <t>Twitter</t>
  </si>
  <si>
    <t>Thursday</t>
  </si>
  <si>
    <t>Saturday</t>
  </si>
  <si>
    <t>Monday</t>
  </si>
  <si>
    <t>Friday</t>
  </si>
  <si>
    <t>KPI</t>
  </si>
  <si>
    <t>Value</t>
  </si>
  <si>
    <t>total posts</t>
  </si>
  <si>
    <t>avg engagement rate</t>
  </si>
  <si>
    <t>viral %</t>
  </si>
  <si>
    <t>high performance %</t>
  </si>
  <si>
    <t>Average of engagement_rate</t>
  </si>
  <si>
    <t>which platform performs best</t>
  </si>
  <si>
    <t>Row Labels</t>
  </si>
  <si>
    <t>Grand Total</t>
  </si>
  <si>
    <t>reel/image/carousel</t>
  </si>
  <si>
    <t>best time to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</si>
</sst>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disha gupta" refreshedDate="46015.599711921299" createdVersion="8" refreshedVersion="8" minRefreshableVersion="3" recordCount="1500" xr:uid="{46AE3255-135A-4270-969B-7C1BD770A1F1}">
  <cacheSource type="worksheet">
    <worksheetSource name="Table1"/>
  </cacheSource>
  <cacheFields count="15">
    <cacheField name="post_id" numFmtId="0">
      <sharedItems containsSemiMixedTypes="0" containsString="0" containsNumber="1" containsInteger="1" minValue="1" maxValue="1500"/>
    </cacheField>
    <cacheField name="platform" numFmtId="0">
      <sharedItems count="3">
        <s v="Instagram"/>
        <s v="Facebook"/>
        <s v="Twitter"/>
      </sharedItems>
    </cacheField>
    <cacheField name="post_type" numFmtId="0">
      <sharedItems count="3">
        <s v="Reel"/>
        <s v="Carousel"/>
        <s v="Image"/>
      </sharedItems>
    </cacheField>
    <cacheField name="post_date" numFmtId="14">
      <sharedItems containsSemiMixedTypes="0" containsNonDate="0" containsDate="1" containsString="0" minDate="2024-01-01T00:00:00" maxDate="2024-10-28T00:00:00"/>
    </cacheField>
    <cacheField name="day_of_week" numFmtId="0">
      <sharedItems/>
    </cacheField>
    <cacheField name="posting_hour" numFmtId="0">
      <sharedItems containsSemiMixedTypes="0" containsString="0" containsNumber="1" containsInteger="1" minValue="6" maxValue="23" count="18">
        <n v="9"/>
        <n v="6"/>
        <n v="11"/>
        <n v="8"/>
        <n v="15"/>
        <n v="17"/>
        <n v="16"/>
        <n v="18"/>
        <n v="19"/>
        <n v="10"/>
        <n v="12"/>
        <n v="21"/>
        <n v="22"/>
        <n v="23"/>
        <n v="7"/>
        <n v="14"/>
        <n v="13"/>
        <n v="20"/>
      </sharedItems>
    </cacheField>
    <cacheField name="caption_length" numFmtId="0">
      <sharedItems containsSemiMixedTypes="0" containsString="0" containsNumber="1" containsInteger="1" minValue="20" maxValue="300"/>
    </cacheField>
    <cacheField name="hashtags_count" numFmtId="0">
      <sharedItems containsSemiMixedTypes="0" containsString="0" containsNumber="1" containsInteger="1" minValue="0" maxValue="20"/>
    </cacheField>
    <cacheField name="likes" numFmtId="0">
      <sharedItems containsSemiMixedTypes="0" containsString="0" containsNumber="1" containsInteger="1" minValue="50" maxValue="4994"/>
    </cacheField>
    <cacheField name="comments" numFmtId="0">
      <sharedItems containsSemiMixedTypes="0" containsString="0" containsNumber="1" containsInteger="1" minValue="5" maxValue="800"/>
    </cacheField>
    <cacheField name="shares" numFmtId="0">
      <sharedItems containsSemiMixedTypes="0" containsString="0" containsNumber="1" containsInteger="1" minValue="2" maxValue="600"/>
    </cacheField>
    <cacheField name="saves" numFmtId="0">
      <sharedItems containsSemiMixedTypes="0" containsString="0" containsNumber="1" containsInteger="1" minValue="1" maxValue="700"/>
    </cacheField>
    <cacheField name="engagement_rate" numFmtId="0">
      <sharedItems containsSemiMixedTypes="0" containsString="0" containsNumber="1" minValue="1.03471180629955" maxValue="32.054545454545398"/>
    </cacheField>
    <cacheField name="performance_label" numFmtId="0">
      <sharedItems/>
    </cacheField>
    <cacheField name="is viral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n v="1"/>
    <x v="0"/>
    <x v="0"/>
    <d v="2024-02-27T00:00:00"/>
    <s v="Tuesday"/>
    <x v="0"/>
    <n v="299"/>
    <n v="2"/>
    <n v="254"/>
    <n v="764"/>
    <n v="283"/>
    <n v="251"/>
    <n v="6.1102362204724399"/>
    <s v="high"/>
    <n v="0"/>
  </r>
  <r>
    <n v="2"/>
    <x v="0"/>
    <x v="1"/>
    <d v="2024-08-04T00:00:00"/>
    <s v="Sunday"/>
    <x v="1"/>
    <n v="121"/>
    <n v="20"/>
    <n v="310"/>
    <n v="35"/>
    <n v="97"/>
    <n v="224"/>
    <n v="2.14838709677419"/>
    <s v="average"/>
    <n v="0"/>
  </r>
  <r>
    <n v="3"/>
    <x v="1"/>
    <x v="0"/>
    <d v="2024-10-06T00:00:00"/>
    <s v="Sunday"/>
    <x v="2"/>
    <n v="236"/>
    <n v="10"/>
    <n v="3486"/>
    <n v="230"/>
    <n v="461"/>
    <n v="604"/>
    <n v="1.3714859437750999"/>
    <s v="low"/>
    <n v="0"/>
  </r>
  <r>
    <n v="4"/>
    <x v="0"/>
    <x v="2"/>
    <d v="2024-05-22T00:00:00"/>
    <s v="Wednesday"/>
    <x v="0"/>
    <n v="203"/>
    <n v="11"/>
    <n v="1323"/>
    <n v="225"/>
    <n v="346"/>
    <n v="105"/>
    <n v="1.51095993953136"/>
    <s v="low"/>
    <n v="0"/>
  </r>
  <r>
    <n v="5"/>
    <x v="0"/>
    <x v="2"/>
    <d v="2024-05-15T00:00:00"/>
    <s v="Wednesday"/>
    <x v="3"/>
    <n v="170"/>
    <n v="20"/>
    <n v="405"/>
    <n v="752"/>
    <n v="472"/>
    <n v="550"/>
    <n v="5.3802469135802404"/>
    <s v="high"/>
    <n v="0"/>
  </r>
  <r>
    <n v="6"/>
    <x v="2"/>
    <x v="0"/>
    <d v="2024-07-04T00:00:00"/>
    <s v="Thursday"/>
    <x v="4"/>
    <n v="60"/>
    <n v="7"/>
    <n v="4779"/>
    <n v="201"/>
    <n v="73"/>
    <n v="47"/>
    <n v="1.06716886377903"/>
    <s v="low"/>
    <n v="0"/>
  </r>
  <r>
    <n v="7"/>
    <x v="1"/>
    <x v="0"/>
    <d v="2024-02-21T00:00:00"/>
    <s v="Wednesday"/>
    <x v="5"/>
    <n v="201"/>
    <n v="6"/>
    <n v="3163"/>
    <n v="289"/>
    <n v="466"/>
    <n v="651"/>
    <n v="1.444514701233"/>
    <s v="low"/>
    <n v="0"/>
  </r>
  <r>
    <n v="8"/>
    <x v="2"/>
    <x v="0"/>
    <d v="2024-05-16T00:00:00"/>
    <s v="Thursday"/>
    <x v="2"/>
    <n v="256"/>
    <n v="12"/>
    <n v="634"/>
    <n v="628"/>
    <n v="177"/>
    <n v="547"/>
    <n v="3.13249211356466"/>
    <s v="high"/>
    <n v="0"/>
  </r>
  <r>
    <n v="9"/>
    <x v="0"/>
    <x v="0"/>
    <d v="2024-05-18T00:00:00"/>
    <s v="Saturday"/>
    <x v="6"/>
    <n v="225"/>
    <n v="8"/>
    <n v="4612"/>
    <n v="229"/>
    <n v="334"/>
    <n v="58"/>
    <n v="1.1346487424111"/>
    <s v="low"/>
    <n v="0"/>
  </r>
  <r>
    <n v="10"/>
    <x v="2"/>
    <x v="2"/>
    <d v="2024-02-03T00:00:00"/>
    <s v="Saturday"/>
    <x v="7"/>
    <n v="254"/>
    <n v="4"/>
    <n v="1778"/>
    <n v="585"/>
    <n v="324"/>
    <n v="218"/>
    <n v="1.6338582677165301"/>
    <s v="average"/>
    <n v="0"/>
  </r>
  <r>
    <n v="11"/>
    <x v="1"/>
    <x v="1"/>
    <d v="2024-05-15T00:00:00"/>
    <s v="Wednesday"/>
    <x v="8"/>
    <n v="224"/>
    <n v="11"/>
    <n v="1193"/>
    <n v="257"/>
    <n v="576"/>
    <n v="552"/>
    <n v="2.1609388097233801"/>
    <s v="average"/>
    <n v="1"/>
  </r>
  <r>
    <n v="12"/>
    <x v="0"/>
    <x v="0"/>
    <d v="2024-04-22T00:00:00"/>
    <s v="Monday"/>
    <x v="9"/>
    <n v="101"/>
    <n v="13"/>
    <n v="1183"/>
    <n v="526"/>
    <n v="507"/>
    <n v="94"/>
    <n v="1.95266272189349"/>
    <s v="average"/>
    <n v="0"/>
  </r>
  <r>
    <n v="13"/>
    <x v="1"/>
    <x v="1"/>
    <d v="2024-02-02T00:00:00"/>
    <s v="Friday"/>
    <x v="1"/>
    <n v="78"/>
    <n v="17"/>
    <n v="3202"/>
    <n v="395"/>
    <n v="481"/>
    <n v="542"/>
    <n v="1.4428482198625801"/>
    <s v="low"/>
    <n v="0"/>
  </r>
  <r>
    <n v="14"/>
    <x v="0"/>
    <x v="2"/>
    <d v="2024-05-16T00:00:00"/>
    <s v="Thursday"/>
    <x v="1"/>
    <n v="154"/>
    <n v="16"/>
    <n v="2836"/>
    <n v="119"/>
    <n v="302"/>
    <n v="446"/>
    <n v="1.3057122708039399"/>
    <s v="low"/>
    <n v="0"/>
  </r>
  <r>
    <n v="15"/>
    <x v="2"/>
    <x v="1"/>
    <d v="2024-04-01T00:00:00"/>
    <s v="Monday"/>
    <x v="10"/>
    <n v="98"/>
    <n v="11"/>
    <n v="4208"/>
    <n v="113"/>
    <n v="307"/>
    <n v="655"/>
    <n v="1.25546577946768"/>
    <s v="low"/>
    <n v="0"/>
  </r>
  <r>
    <n v="16"/>
    <x v="1"/>
    <x v="2"/>
    <d v="2024-03-23T00:00:00"/>
    <s v="Saturday"/>
    <x v="1"/>
    <n v="77"/>
    <n v="11"/>
    <n v="4468"/>
    <n v="548"/>
    <n v="2"/>
    <n v="614"/>
    <n v="1.2605192479856699"/>
    <s v="low"/>
    <n v="0"/>
  </r>
  <r>
    <n v="17"/>
    <x v="0"/>
    <x v="0"/>
    <d v="2024-06-06T00:00:00"/>
    <s v="Thursday"/>
    <x v="11"/>
    <n v="55"/>
    <n v="17"/>
    <n v="2011"/>
    <n v="64"/>
    <n v="248"/>
    <n v="581"/>
    <n v="1.4440576827449001"/>
    <s v="low"/>
    <n v="0"/>
  </r>
  <r>
    <n v="18"/>
    <x v="0"/>
    <x v="2"/>
    <d v="2024-03-05T00:00:00"/>
    <s v="Tuesday"/>
    <x v="12"/>
    <n v="236"/>
    <n v="6"/>
    <n v="1101"/>
    <n v="680"/>
    <n v="488"/>
    <n v="563"/>
    <n v="2.5722070844686602"/>
    <s v="high"/>
    <n v="0"/>
  </r>
  <r>
    <n v="19"/>
    <x v="2"/>
    <x v="1"/>
    <d v="2024-10-03T00:00:00"/>
    <s v="Thursday"/>
    <x v="5"/>
    <n v="244"/>
    <n v="16"/>
    <n v="1697"/>
    <n v="735"/>
    <n v="321"/>
    <n v="409"/>
    <n v="1.86328815556865"/>
    <s v="average"/>
    <n v="0"/>
  </r>
  <r>
    <n v="20"/>
    <x v="1"/>
    <x v="0"/>
    <d v="2024-08-19T00:00:00"/>
    <s v="Monday"/>
    <x v="13"/>
    <n v="137"/>
    <n v="18"/>
    <n v="1041"/>
    <n v="258"/>
    <n v="232"/>
    <n v="66"/>
    <n v="1.5341018251681"/>
    <s v="low"/>
    <n v="0"/>
  </r>
  <r>
    <n v="21"/>
    <x v="0"/>
    <x v="0"/>
    <d v="2024-04-22T00:00:00"/>
    <s v="Monday"/>
    <x v="6"/>
    <n v="56"/>
    <n v="16"/>
    <n v="108"/>
    <n v="77"/>
    <n v="62"/>
    <n v="235"/>
    <n v="4.4629629629629601"/>
    <s v="high"/>
    <n v="0"/>
  </r>
  <r>
    <n v="22"/>
    <x v="2"/>
    <x v="0"/>
    <d v="2024-05-01T00:00:00"/>
    <s v="Wednesday"/>
    <x v="11"/>
    <n v="144"/>
    <n v="15"/>
    <n v="2331"/>
    <n v="690"/>
    <n v="499"/>
    <n v="220"/>
    <n v="1.6044616044616"/>
    <s v="low"/>
    <n v="0"/>
  </r>
  <r>
    <n v="23"/>
    <x v="1"/>
    <x v="2"/>
    <d v="2024-07-27T00:00:00"/>
    <s v="Saturday"/>
    <x v="8"/>
    <n v="230"/>
    <n v="14"/>
    <n v="1609"/>
    <n v="101"/>
    <n v="101"/>
    <n v="675"/>
    <n v="1.5450590428837701"/>
    <s v="low"/>
    <n v="0"/>
  </r>
  <r>
    <n v="24"/>
    <x v="0"/>
    <x v="0"/>
    <d v="2024-01-28T00:00:00"/>
    <s v="Sunday"/>
    <x v="10"/>
    <n v="117"/>
    <n v="17"/>
    <n v="856"/>
    <n v="67"/>
    <n v="414"/>
    <n v="348"/>
    <n v="1.9684579439252301"/>
    <s v="average"/>
    <n v="0"/>
  </r>
  <r>
    <n v="25"/>
    <x v="1"/>
    <x v="0"/>
    <d v="2024-08-17T00:00:00"/>
    <s v="Saturday"/>
    <x v="3"/>
    <n v="246"/>
    <n v="17"/>
    <n v="1198"/>
    <n v="437"/>
    <n v="189"/>
    <n v="286"/>
    <n v="1.7612687813021699"/>
    <s v="average"/>
    <n v="0"/>
  </r>
  <r>
    <n v="26"/>
    <x v="0"/>
    <x v="0"/>
    <d v="2024-02-20T00:00:00"/>
    <s v="Tuesday"/>
    <x v="2"/>
    <n v="228"/>
    <n v="15"/>
    <n v="464"/>
    <n v="672"/>
    <n v="555"/>
    <n v="16"/>
    <n v="3.6788793103448199"/>
    <s v="high"/>
    <n v="1"/>
  </r>
  <r>
    <n v="27"/>
    <x v="1"/>
    <x v="0"/>
    <d v="2024-09-03T00:00:00"/>
    <s v="Tuesday"/>
    <x v="7"/>
    <n v="155"/>
    <n v="14"/>
    <n v="1801"/>
    <n v="415"/>
    <n v="62"/>
    <n v="169"/>
    <n v="1.35868961687951"/>
    <s v="low"/>
    <n v="0"/>
  </r>
  <r>
    <n v="28"/>
    <x v="2"/>
    <x v="2"/>
    <d v="2024-05-26T00:00:00"/>
    <s v="Sunday"/>
    <x v="9"/>
    <n v="117"/>
    <n v="9"/>
    <n v="3515"/>
    <n v="718"/>
    <n v="571"/>
    <n v="678"/>
    <n v="1.55960170697012"/>
    <s v="low"/>
    <n v="0"/>
  </r>
  <r>
    <n v="29"/>
    <x v="2"/>
    <x v="2"/>
    <d v="2024-04-21T00:00:00"/>
    <s v="Sunday"/>
    <x v="14"/>
    <n v="45"/>
    <n v="18"/>
    <n v="529"/>
    <n v="598"/>
    <n v="557"/>
    <n v="63"/>
    <n v="3.3024574669187099"/>
    <s v="high"/>
    <n v="1"/>
  </r>
  <r>
    <n v="30"/>
    <x v="2"/>
    <x v="0"/>
    <d v="2024-09-01T00:00:00"/>
    <s v="Sunday"/>
    <x v="2"/>
    <n v="55"/>
    <n v="19"/>
    <n v="4169"/>
    <n v="548"/>
    <n v="163"/>
    <n v="59"/>
    <n v="1.18469656992084"/>
    <s v="low"/>
    <n v="0"/>
  </r>
  <r>
    <n v="31"/>
    <x v="0"/>
    <x v="1"/>
    <d v="2024-02-04T00:00:00"/>
    <s v="Sunday"/>
    <x v="14"/>
    <n v="61"/>
    <n v="13"/>
    <n v="1976"/>
    <n v="418"/>
    <n v="124"/>
    <n v="584"/>
    <n v="1.56983805668016"/>
    <s v="low"/>
    <n v="0"/>
  </r>
  <r>
    <n v="32"/>
    <x v="0"/>
    <x v="1"/>
    <d v="2024-10-25T00:00:00"/>
    <s v="Friday"/>
    <x v="6"/>
    <n v="142"/>
    <n v="8"/>
    <n v="4680"/>
    <n v="540"/>
    <n v="325"/>
    <n v="268"/>
    <n v="1.24209401709401"/>
    <s v="low"/>
    <n v="0"/>
  </r>
  <r>
    <n v="33"/>
    <x v="1"/>
    <x v="0"/>
    <d v="2024-07-21T00:00:00"/>
    <s v="Sunday"/>
    <x v="1"/>
    <n v="254"/>
    <n v="19"/>
    <n v="1122"/>
    <n v="692"/>
    <n v="309"/>
    <n v="469"/>
    <n v="2.3101604278074799"/>
    <s v="average"/>
    <n v="0"/>
  </r>
  <r>
    <n v="34"/>
    <x v="2"/>
    <x v="2"/>
    <d v="2024-10-15T00:00:00"/>
    <s v="Tuesday"/>
    <x v="9"/>
    <n v="198"/>
    <n v="2"/>
    <n v="869"/>
    <n v="80"/>
    <n v="552"/>
    <n v="219"/>
    <n v="1.9792865362485601"/>
    <s v="average"/>
    <n v="0"/>
  </r>
  <r>
    <n v="35"/>
    <x v="2"/>
    <x v="1"/>
    <d v="2024-05-05T00:00:00"/>
    <s v="Sunday"/>
    <x v="4"/>
    <n v="290"/>
    <n v="0"/>
    <n v="3077"/>
    <n v="296"/>
    <n v="163"/>
    <n v="449"/>
    <n v="1.2950926226844299"/>
    <s v="low"/>
    <n v="0"/>
  </r>
  <r>
    <n v="36"/>
    <x v="1"/>
    <x v="0"/>
    <d v="2024-10-10T00:00:00"/>
    <s v="Thursday"/>
    <x v="0"/>
    <n v="99"/>
    <n v="8"/>
    <n v="2502"/>
    <n v="684"/>
    <n v="108"/>
    <n v="138"/>
    <n v="1.3717026378896799"/>
    <s v="low"/>
    <n v="0"/>
  </r>
  <r>
    <n v="37"/>
    <x v="2"/>
    <x v="1"/>
    <d v="2024-05-24T00:00:00"/>
    <s v="Friday"/>
    <x v="15"/>
    <n v="278"/>
    <n v="15"/>
    <n v="1775"/>
    <n v="739"/>
    <n v="353"/>
    <n v="209"/>
    <n v="1.7329577464788699"/>
    <s v="average"/>
    <n v="0"/>
  </r>
  <r>
    <n v="38"/>
    <x v="0"/>
    <x v="0"/>
    <d v="2024-05-08T00:00:00"/>
    <s v="Wednesday"/>
    <x v="6"/>
    <n v="86"/>
    <n v="20"/>
    <n v="466"/>
    <n v="99"/>
    <n v="435"/>
    <n v="284"/>
    <n v="2.7553648068669498"/>
    <s v="high"/>
    <n v="0"/>
  </r>
  <r>
    <n v="39"/>
    <x v="2"/>
    <x v="2"/>
    <d v="2024-05-14T00:00:00"/>
    <s v="Tuesday"/>
    <x v="13"/>
    <n v="24"/>
    <n v="3"/>
    <n v="1373"/>
    <n v="764"/>
    <n v="454"/>
    <n v="565"/>
    <n v="2.2986161689730502"/>
    <s v="average"/>
    <n v="0"/>
  </r>
  <r>
    <n v="40"/>
    <x v="2"/>
    <x v="1"/>
    <d v="2024-02-08T00:00:00"/>
    <s v="Thursday"/>
    <x v="9"/>
    <n v="240"/>
    <n v="4"/>
    <n v="1271"/>
    <n v="563"/>
    <n v="38"/>
    <n v="379"/>
    <n v="1.7710464201416201"/>
    <s v="average"/>
    <n v="0"/>
  </r>
  <r>
    <n v="41"/>
    <x v="0"/>
    <x v="1"/>
    <d v="2024-01-22T00:00:00"/>
    <s v="Monday"/>
    <x v="16"/>
    <n v="72"/>
    <n v="11"/>
    <n v="2575"/>
    <n v="378"/>
    <n v="42"/>
    <n v="367"/>
    <n v="1.30563106796116"/>
    <s v="low"/>
    <n v="0"/>
  </r>
  <r>
    <n v="42"/>
    <x v="0"/>
    <x v="0"/>
    <d v="2024-10-13T00:00:00"/>
    <s v="Sunday"/>
    <x v="8"/>
    <n v="32"/>
    <n v="5"/>
    <n v="3379"/>
    <n v="640"/>
    <n v="160"/>
    <n v="243"/>
    <n v="1.3086712044983699"/>
    <s v="low"/>
    <n v="0"/>
  </r>
  <r>
    <n v="43"/>
    <x v="0"/>
    <x v="1"/>
    <d v="2024-06-19T00:00:00"/>
    <s v="Wednesday"/>
    <x v="0"/>
    <n v="215"/>
    <n v="1"/>
    <n v="3422"/>
    <n v="690"/>
    <n v="256"/>
    <n v="274"/>
    <n v="1.3565166569257701"/>
    <s v="low"/>
    <n v="0"/>
  </r>
  <r>
    <n v="44"/>
    <x v="1"/>
    <x v="0"/>
    <d v="2024-08-28T00:00:00"/>
    <s v="Wednesday"/>
    <x v="16"/>
    <n v="32"/>
    <n v="6"/>
    <n v="1872"/>
    <n v="209"/>
    <n v="473"/>
    <n v="359"/>
    <n v="1.5560897435897401"/>
    <s v="low"/>
    <n v="0"/>
  </r>
  <r>
    <n v="45"/>
    <x v="1"/>
    <x v="1"/>
    <d v="2024-07-23T00:00:00"/>
    <s v="Tuesday"/>
    <x v="12"/>
    <n v="224"/>
    <n v="17"/>
    <n v="2739"/>
    <n v="290"/>
    <n v="73"/>
    <n v="286"/>
    <n v="1.23694779116465"/>
    <s v="low"/>
    <n v="0"/>
  </r>
  <r>
    <n v="46"/>
    <x v="2"/>
    <x v="2"/>
    <d v="2024-06-18T00:00:00"/>
    <s v="Tuesday"/>
    <x v="14"/>
    <n v="75"/>
    <n v="19"/>
    <n v="276"/>
    <n v="123"/>
    <n v="269"/>
    <n v="183"/>
    <n v="3.0833333333333299"/>
    <s v="high"/>
    <n v="0"/>
  </r>
  <r>
    <n v="47"/>
    <x v="2"/>
    <x v="1"/>
    <d v="2024-08-10T00:00:00"/>
    <s v="Saturday"/>
    <x v="0"/>
    <n v="217"/>
    <n v="18"/>
    <n v="2881"/>
    <n v="751"/>
    <n v="323"/>
    <n v="447"/>
    <n v="1.5279416869142599"/>
    <s v="low"/>
    <n v="0"/>
  </r>
  <r>
    <n v="48"/>
    <x v="2"/>
    <x v="1"/>
    <d v="2024-04-07T00:00:00"/>
    <s v="Sunday"/>
    <x v="10"/>
    <n v="206"/>
    <n v="13"/>
    <n v="2136"/>
    <n v="50"/>
    <n v="448"/>
    <n v="2"/>
    <n v="1.23408239700374"/>
    <s v="low"/>
    <n v="0"/>
  </r>
  <r>
    <n v="49"/>
    <x v="0"/>
    <x v="1"/>
    <d v="2024-02-05T00:00:00"/>
    <s v="Monday"/>
    <x v="4"/>
    <n v="279"/>
    <n v="9"/>
    <n v="2754"/>
    <n v="643"/>
    <n v="323"/>
    <n v="680"/>
    <n v="1.5976761074800201"/>
    <s v="low"/>
    <n v="0"/>
  </r>
  <r>
    <n v="50"/>
    <x v="0"/>
    <x v="0"/>
    <d v="2024-07-28T00:00:00"/>
    <s v="Sunday"/>
    <x v="8"/>
    <n v="214"/>
    <n v="5"/>
    <n v="2722"/>
    <n v="417"/>
    <n v="304"/>
    <n v="568"/>
    <n v="1.4735488611315199"/>
    <s v="low"/>
    <n v="0"/>
  </r>
  <r>
    <n v="51"/>
    <x v="1"/>
    <x v="2"/>
    <d v="2024-10-18T00:00:00"/>
    <s v="Friday"/>
    <x v="10"/>
    <n v="240"/>
    <n v="18"/>
    <n v="2515"/>
    <n v="420"/>
    <n v="563"/>
    <n v="1"/>
    <n v="1.3912524850894601"/>
    <s v="low"/>
    <n v="0"/>
  </r>
  <r>
    <n v="52"/>
    <x v="0"/>
    <x v="1"/>
    <d v="2024-06-13T00:00:00"/>
    <s v="Thursday"/>
    <x v="11"/>
    <n v="106"/>
    <n v="2"/>
    <n v="3859"/>
    <n v="457"/>
    <n v="454"/>
    <n v="692"/>
    <n v="1.4153925887535601"/>
    <s v="low"/>
    <n v="0"/>
  </r>
  <r>
    <n v="53"/>
    <x v="0"/>
    <x v="1"/>
    <d v="2024-05-25T00:00:00"/>
    <s v="Saturday"/>
    <x v="4"/>
    <n v="135"/>
    <n v="6"/>
    <n v="4272"/>
    <n v="684"/>
    <n v="345"/>
    <n v="96"/>
    <n v="1.2633426966292101"/>
    <s v="low"/>
    <n v="0"/>
  </r>
  <r>
    <n v="54"/>
    <x v="2"/>
    <x v="0"/>
    <d v="2024-03-16T00:00:00"/>
    <s v="Saturday"/>
    <x v="17"/>
    <n v="232"/>
    <n v="20"/>
    <n v="250"/>
    <n v="52"/>
    <n v="252"/>
    <n v="487"/>
    <n v="4.1639999999999997"/>
    <s v="high"/>
    <n v="0"/>
  </r>
  <r>
    <n v="55"/>
    <x v="1"/>
    <x v="0"/>
    <d v="2024-10-21T00:00:00"/>
    <s v="Monday"/>
    <x v="9"/>
    <n v="22"/>
    <n v="3"/>
    <n v="1642"/>
    <n v="740"/>
    <n v="395"/>
    <n v="507"/>
    <n v="2"/>
    <s v="average"/>
    <n v="0"/>
  </r>
  <r>
    <n v="56"/>
    <x v="0"/>
    <x v="1"/>
    <d v="2024-08-05T00:00:00"/>
    <s v="Monday"/>
    <x v="16"/>
    <n v="82"/>
    <n v="14"/>
    <n v="1842"/>
    <n v="185"/>
    <n v="532"/>
    <n v="476"/>
    <n v="1.64766558089033"/>
    <s v="average"/>
    <n v="0"/>
  </r>
  <r>
    <n v="57"/>
    <x v="2"/>
    <x v="2"/>
    <d v="2024-03-09T00:00:00"/>
    <s v="Saturday"/>
    <x v="17"/>
    <n v="278"/>
    <n v="13"/>
    <n v="3856"/>
    <n v="688"/>
    <n v="545"/>
    <n v="573"/>
    <n v="1.4683609958506201"/>
    <s v="low"/>
    <n v="0"/>
  </r>
  <r>
    <n v="58"/>
    <x v="1"/>
    <x v="0"/>
    <d v="2024-10-07T00:00:00"/>
    <s v="Monday"/>
    <x v="15"/>
    <n v="286"/>
    <n v="15"/>
    <n v="3702"/>
    <n v="167"/>
    <n v="488"/>
    <n v="461"/>
    <n v="1.30145867098865"/>
    <s v="low"/>
    <n v="0"/>
  </r>
  <r>
    <n v="59"/>
    <x v="0"/>
    <x v="2"/>
    <d v="2024-05-02T00:00:00"/>
    <s v="Thursday"/>
    <x v="6"/>
    <n v="183"/>
    <n v="17"/>
    <n v="2299"/>
    <n v="455"/>
    <n v="81"/>
    <n v="293"/>
    <n v="1.36059156154849"/>
    <s v="low"/>
    <n v="0"/>
  </r>
  <r>
    <n v="60"/>
    <x v="2"/>
    <x v="0"/>
    <d v="2024-02-11T00:00:00"/>
    <s v="Sunday"/>
    <x v="10"/>
    <n v="52"/>
    <n v="13"/>
    <n v="1183"/>
    <n v="159"/>
    <n v="238"/>
    <n v="393"/>
    <n v="1.6677937447168201"/>
    <s v="average"/>
    <n v="0"/>
  </r>
  <r>
    <n v="61"/>
    <x v="0"/>
    <x v="0"/>
    <d v="2024-07-27T00:00:00"/>
    <s v="Saturday"/>
    <x v="8"/>
    <n v="219"/>
    <n v="18"/>
    <n v="2760"/>
    <n v="560"/>
    <n v="479"/>
    <n v="426"/>
    <n v="1.5307971014492701"/>
    <s v="low"/>
    <n v="0"/>
  </r>
  <r>
    <n v="62"/>
    <x v="1"/>
    <x v="2"/>
    <d v="2024-01-11T00:00:00"/>
    <s v="Thursday"/>
    <x v="7"/>
    <n v="234"/>
    <n v="17"/>
    <n v="4766"/>
    <n v="394"/>
    <n v="490"/>
    <n v="7"/>
    <n v="1.18694922366764"/>
    <s v="low"/>
    <n v="0"/>
  </r>
  <r>
    <n v="63"/>
    <x v="1"/>
    <x v="2"/>
    <d v="2024-10-06T00:00:00"/>
    <s v="Sunday"/>
    <x v="11"/>
    <n v="34"/>
    <n v="12"/>
    <n v="4991"/>
    <n v="230"/>
    <n v="501"/>
    <n v="225"/>
    <n v="1.1915447806050801"/>
    <s v="low"/>
    <n v="0"/>
  </r>
  <r>
    <n v="64"/>
    <x v="0"/>
    <x v="1"/>
    <d v="2024-06-21T00:00:00"/>
    <s v="Friday"/>
    <x v="13"/>
    <n v="33"/>
    <n v="12"/>
    <n v="3362"/>
    <n v="746"/>
    <n v="171"/>
    <n v="479"/>
    <n v="1.41522903033908"/>
    <s v="low"/>
    <n v="0"/>
  </r>
  <r>
    <n v="65"/>
    <x v="1"/>
    <x v="0"/>
    <d v="2024-10-15T00:00:00"/>
    <s v="Tuesday"/>
    <x v="14"/>
    <n v="153"/>
    <n v="12"/>
    <n v="272"/>
    <n v="90"/>
    <n v="440"/>
    <n v="139"/>
    <n v="3.4595588235294099"/>
    <s v="high"/>
    <n v="0"/>
  </r>
  <r>
    <n v="66"/>
    <x v="1"/>
    <x v="2"/>
    <d v="2024-06-16T00:00:00"/>
    <s v="Sunday"/>
    <x v="8"/>
    <n v="149"/>
    <n v="2"/>
    <n v="1783"/>
    <n v="470"/>
    <n v="336"/>
    <n v="346"/>
    <n v="1.6461020751542299"/>
    <s v="average"/>
    <n v="0"/>
  </r>
  <r>
    <n v="67"/>
    <x v="1"/>
    <x v="0"/>
    <d v="2024-08-28T00:00:00"/>
    <s v="Wednesday"/>
    <x v="3"/>
    <n v="40"/>
    <n v="0"/>
    <n v="208"/>
    <n v="772"/>
    <n v="554"/>
    <n v="54"/>
    <n v="7.6346153846153797"/>
    <s v="high"/>
    <n v="1"/>
  </r>
  <r>
    <n v="68"/>
    <x v="0"/>
    <x v="2"/>
    <d v="2024-05-06T00:00:00"/>
    <s v="Monday"/>
    <x v="0"/>
    <n v="131"/>
    <n v="14"/>
    <n v="1683"/>
    <n v="25"/>
    <n v="158"/>
    <n v="245"/>
    <n v="1.25430778371954"/>
    <s v="low"/>
    <n v="0"/>
  </r>
  <r>
    <n v="69"/>
    <x v="1"/>
    <x v="0"/>
    <d v="2024-05-11T00:00:00"/>
    <s v="Saturday"/>
    <x v="1"/>
    <n v="179"/>
    <n v="18"/>
    <n v="3071"/>
    <n v="176"/>
    <n v="119"/>
    <n v="168"/>
    <n v="1.1507652230543699"/>
    <s v="low"/>
    <n v="0"/>
  </r>
  <r>
    <n v="70"/>
    <x v="2"/>
    <x v="1"/>
    <d v="2024-07-11T00:00:00"/>
    <s v="Thursday"/>
    <x v="16"/>
    <n v="72"/>
    <n v="9"/>
    <n v="3299"/>
    <n v="737"/>
    <n v="205"/>
    <n v="78"/>
    <n v="1.30918460139436"/>
    <s v="low"/>
    <n v="0"/>
  </r>
  <r>
    <n v="71"/>
    <x v="1"/>
    <x v="1"/>
    <d v="2024-03-02T00:00:00"/>
    <s v="Saturday"/>
    <x v="5"/>
    <n v="55"/>
    <n v="16"/>
    <n v="4686"/>
    <n v="47"/>
    <n v="357"/>
    <n v="546"/>
    <n v="1.2027315407596999"/>
    <s v="low"/>
    <n v="0"/>
  </r>
  <r>
    <n v="72"/>
    <x v="1"/>
    <x v="2"/>
    <d v="2024-06-23T00:00:00"/>
    <s v="Sunday"/>
    <x v="17"/>
    <n v="98"/>
    <n v="13"/>
    <n v="153"/>
    <n v="435"/>
    <n v="503"/>
    <n v="109"/>
    <n v="7.8431372549019596"/>
    <s v="high"/>
    <n v="0"/>
  </r>
  <r>
    <n v="73"/>
    <x v="2"/>
    <x v="2"/>
    <d v="2024-03-31T00:00:00"/>
    <s v="Sunday"/>
    <x v="17"/>
    <n v="243"/>
    <n v="18"/>
    <n v="4324"/>
    <n v="671"/>
    <n v="278"/>
    <n v="631"/>
    <n v="1.3654024051803799"/>
    <s v="low"/>
    <n v="0"/>
  </r>
  <r>
    <n v="74"/>
    <x v="1"/>
    <x v="0"/>
    <d v="2024-05-17T00:00:00"/>
    <s v="Friday"/>
    <x v="17"/>
    <n v="214"/>
    <n v="10"/>
    <n v="2690"/>
    <n v="256"/>
    <n v="90"/>
    <n v="286"/>
    <n v="1.2349442379182101"/>
    <s v="low"/>
    <n v="0"/>
  </r>
  <r>
    <n v="75"/>
    <x v="0"/>
    <x v="2"/>
    <d v="2024-01-15T00:00:00"/>
    <s v="Monday"/>
    <x v="15"/>
    <n v="194"/>
    <n v="8"/>
    <n v="4099"/>
    <n v="337"/>
    <n v="188"/>
    <n v="500"/>
    <n v="1.25006099048548"/>
    <s v="low"/>
    <n v="0"/>
  </r>
  <r>
    <n v="76"/>
    <x v="0"/>
    <x v="0"/>
    <d v="2024-05-21T00:00:00"/>
    <s v="Tuesday"/>
    <x v="8"/>
    <n v="270"/>
    <n v="17"/>
    <n v="4603"/>
    <n v="15"/>
    <n v="531"/>
    <n v="196"/>
    <n v="1.1611992179013599"/>
    <s v="low"/>
    <n v="0"/>
  </r>
  <r>
    <n v="77"/>
    <x v="0"/>
    <x v="0"/>
    <d v="2024-05-03T00:00:00"/>
    <s v="Friday"/>
    <x v="4"/>
    <n v="133"/>
    <n v="12"/>
    <n v="3950"/>
    <n v="666"/>
    <n v="504"/>
    <n v="459"/>
    <n v="1.41240506329113"/>
    <s v="low"/>
    <n v="0"/>
  </r>
  <r>
    <n v="78"/>
    <x v="1"/>
    <x v="1"/>
    <d v="2024-05-04T00:00:00"/>
    <s v="Saturday"/>
    <x v="12"/>
    <n v="196"/>
    <n v="13"/>
    <n v="2558"/>
    <n v="684"/>
    <n v="597"/>
    <n v="378"/>
    <n v="1.64855355746677"/>
    <s v="average"/>
    <n v="0"/>
  </r>
  <r>
    <n v="79"/>
    <x v="1"/>
    <x v="2"/>
    <d v="2024-10-08T00:00:00"/>
    <s v="Tuesday"/>
    <x v="16"/>
    <n v="81"/>
    <n v="6"/>
    <n v="2759"/>
    <n v="365"/>
    <n v="466"/>
    <n v="278"/>
    <n v="1.40195723088075"/>
    <s v="low"/>
    <n v="0"/>
  </r>
  <r>
    <n v="80"/>
    <x v="0"/>
    <x v="0"/>
    <d v="2024-06-10T00:00:00"/>
    <s v="Monday"/>
    <x v="11"/>
    <n v="161"/>
    <n v="18"/>
    <n v="1029"/>
    <n v="765"/>
    <n v="550"/>
    <n v="190"/>
    <n v="2.4625850340136002"/>
    <s v="high"/>
    <n v="1"/>
  </r>
  <r>
    <n v="81"/>
    <x v="1"/>
    <x v="0"/>
    <d v="2024-09-25T00:00:00"/>
    <s v="Wednesday"/>
    <x v="5"/>
    <n v="111"/>
    <n v="9"/>
    <n v="4938"/>
    <n v="294"/>
    <n v="104"/>
    <n v="199"/>
    <n v="1.1208991494532199"/>
    <s v="low"/>
    <n v="0"/>
  </r>
  <r>
    <n v="82"/>
    <x v="0"/>
    <x v="1"/>
    <d v="2024-01-08T00:00:00"/>
    <s v="Monday"/>
    <x v="4"/>
    <n v="84"/>
    <n v="20"/>
    <n v="4425"/>
    <n v="134"/>
    <n v="282"/>
    <n v="47"/>
    <n v="1.10463276836158"/>
    <s v="low"/>
    <n v="0"/>
  </r>
  <r>
    <n v="83"/>
    <x v="1"/>
    <x v="2"/>
    <d v="2024-09-08T00:00:00"/>
    <s v="Sunday"/>
    <x v="17"/>
    <n v="194"/>
    <n v="5"/>
    <n v="890"/>
    <n v="17"/>
    <n v="589"/>
    <n v="292"/>
    <n v="2.0089887640449402"/>
    <s v="average"/>
    <n v="1"/>
  </r>
  <r>
    <n v="84"/>
    <x v="1"/>
    <x v="2"/>
    <d v="2024-01-27T00:00:00"/>
    <s v="Saturday"/>
    <x v="3"/>
    <n v="47"/>
    <n v="4"/>
    <n v="2118"/>
    <n v="494"/>
    <n v="118"/>
    <n v="67"/>
    <n v="1.32058545797922"/>
    <s v="low"/>
    <n v="0"/>
  </r>
  <r>
    <n v="85"/>
    <x v="0"/>
    <x v="1"/>
    <d v="2024-03-17T00:00:00"/>
    <s v="Sunday"/>
    <x v="8"/>
    <n v="135"/>
    <n v="16"/>
    <n v="4660"/>
    <n v="316"/>
    <n v="89"/>
    <n v="255"/>
    <n v="1.1416309012875501"/>
    <s v="low"/>
    <n v="0"/>
  </r>
  <r>
    <n v="86"/>
    <x v="1"/>
    <x v="2"/>
    <d v="2024-07-13T00:00:00"/>
    <s v="Saturday"/>
    <x v="14"/>
    <n v="70"/>
    <n v="6"/>
    <n v="3740"/>
    <n v="458"/>
    <n v="306"/>
    <n v="603"/>
    <n v="1.3655080213903701"/>
    <s v="low"/>
    <n v="0"/>
  </r>
  <r>
    <n v="87"/>
    <x v="0"/>
    <x v="0"/>
    <d v="2024-04-18T00:00:00"/>
    <s v="Thursday"/>
    <x v="13"/>
    <n v="58"/>
    <n v="5"/>
    <n v="2217"/>
    <n v="681"/>
    <n v="85"/>
    <n v="161"/>
    <n v="1.4181326116373401"/>
    <s v="low"/>
    <n v="0"/>
  </r>
  <r>
    <n v="88"/>
    <x v="0"/>
    <x v="0"/>
    <d v="2024-01-02T00:00:00"/>
    <s v="Tuesday"/>
    <x v="4"/>
    <n v="164"/>
    <n v="14"/>
    <n v="3396"/>
    <n v="466"/>
    <n v="483"/>
    <n v="299"/>
    <n v="1.36749116607773"/>
    <s v="low"/>
    <n v="0"/>
  </r>
  <r>
    <n v="89"/>
    <x v="0"/>
    <x v="1"/>
    <d v="2024-02-06T00:00:00"/>
    <s v="Tuesday"/>
    <x v="16"/>
    <n v="96"/>
    <n v="8"/>
    <n v="1962"/>
    <n v="275"/>
    <n v="204"/>
    <n v="436"/>
    <n v="1.4663608562691099"/>
    <s v="low"/>
    <n v="0"/>
  </r>
  <r>
    <n v="90"/>
    <x v="2"/>
    <x v="1"/>
    <d v="2024-03-13T00:00:00"/>
    <s v="Wednesday"/>
    <x v="4"/>
    <n v="244"/>
    <n v="3"/>
    <n v="634"/>
    <n v="66"/>
    <n v="171"/>
    <n v="315"/>
    <n v="1.8706624605678199"/>
    <s v="average"/>
    <n v="0"/>
  </r>
  <r>
    <n v="91"/>
    <x v="2"/>
    <x v="1"/>
    <d v="2024-08-27T00:00:00"/>
    <s v="Tuesday"/>
    <x v="11"/>
    <n v="244"/>
    <n v="2"/>
    <n v="2541"/>
    <n v="721"/>
    <n v="414"/>
    <n v="279"/>
    <n v="1.5564738292011"/>
    <s v="low"/>
    <n v="0"/>
  </r>
  <r>
    <n v="92"/>
    <x v="1"/>
    <x v="0"/>
    <d v="2024-01-21T00:00:00"/>
    <s v="Sunday"/>
    <x v="3"/>
    <n v="137"/>
    <n v="18"/>
    <n v="3589"/>
    <n v="757"/>
    <n v="332"/>
    <n v="619"/>
    <n v="1.4758985789913599"/>
    <s v="low"/>
    <n v="0"/>
  </r>
  <r>
    <n v="93"/>
    <x v="0"/>
    <x v="0"/>
    <d v="2024-10-27T00:00:00"/>
    <s v="Sunday"/>
    <x v="11"/>
    <n v="285"/>
    <n v="20"/>
    <n v="219"/>
    <n v="788"/>
    <n v="277"/>
    <n v="591"/>
    <n v="8.5616438356164295"/>
    <s v="high"/>
    <n v="0"/>
  </r>
  <r>
    <n v="94"/>
    <x v="1"/>
    <x v="0"/>
    <d v="2024-08-14T00:00:00"/>
    <s v="Wednesday"/>
    <x v="11"/>
    <n v="198"/>
    <n v="13"/>
    <n v="2328"/>
    <n v="190"/>
    <n v="448"/>
    <n v="651"/>
    <n v="1.5536941580756001"/>
    <s v="low"/>
    <n v="0"/>
  </r>
  <r>
    <n v="95"/>
    <x v="1"/>
    <x v="2"/>
    <d v="2024-06-19T00:00:00"/>
    <s v="Wednesday"/>
    <x v="11"/>
    <n v="167"/>
    <n v="12"/>
    <n v="2680"/>
    <n v="691"/>
    <n v="109"/>
    <n v="165"/>
    <n v="1.36007462686567"/>
    <s v="low"/>
    <n v="0"/>
  </r>
  <r>
    <n v="96"/>
    <x v="1"/>
    <x v="2"/>
    <d v="2024-10-08T00:00:00"/>
    <s v="Tuesday"/>
    <x v="0"/>
    <n v="226"/>
    <n v="16"/>
    <n v="350"/>
    <n v="470"/>
    <n v="92"/>
    <n v="323"/>
    <n v="3.52857142857142"/>
    <s v="high"/>
    <n v="0"/>
  </r>
  <r>
    <n v="97"/>
    <x v="0"/>
    <x v="1"/>
    <d v="2024-01-01T00:00:00"/>
    <s v="Monday"/>
    <x v="5"/>
    <n v="275"/>
    <n v="20"/>
    <n v="4494"/>
    <n v="478"/>
    <n v="425"/>
    <n v="56"/>
    <n v="1.2133956386292799"/>
    <s v="low"/>
    <n v="0"/>
  </r>
  <r>
    <n v="98"/>
    <x v="0"/>
    <x v="2"/>
    <d v="2024-08-14T00:00:00"/>
    <s v="Wednesday"/>
    <x v="17"/>
    <n v="268"/>
    <n v="3"/>
    <n v="472"/>
    <n v="213"/>
    <n v="275"/>
    <n v="563"/>
    <n v="3.2266949152542299"/>
    <s v="high"/>
    <n v="0"/>
  </r>
  <r>
    <n v="99"/>
    <x v="2"/>
    <x v="0"/>
    <d v="2024-01-15T00:00:00"/>
    <s v="Monday"/>
    <x v="13"/>
    <n v="228"/>
    <n v="2"/>
    <n v="2010"/>
    <n v="731"/>
    <n v="164"/>
    <n v="319"/>
    <n v="1.60398009950248"/>
    <s v="low"/>
    <n v="0"/>
  </r>
  <r>
    <n v="100"/>
    <x v="0"/>
    <x v="2"/>
    <d v="2024-04-25T00:00:00"/>
    <s v="Thursday"/>
    <x v="4"/>
    <n v="280"/>
    <n v="8"/>
    <n v="979"/>
    <n v="477"/>
    <n v="122"/>
    <n v="664"/>
    <n v="2.2900919305413598"/>
    <s v="average"/>
    <n v="0"/>
  </r>
  <r>
    <n v="101"/>
    <x v="2"/>
    <x v="0"/>
    <d v="2024-07-31T00:00:00"/>
    <s v="Wednesday"/>
    <x v="7"/>
    <n v="117"/>
    <n v="19"/>
    <n v="4002"/>
    <n v="488"/>
    <n v="251"/>
    <n v="468"/>
    <n v="1.3015992003998"/>
    <s v="low"/>
    <n v="0"/>
  </r>
  <r>
    <n v="102"/>
    <x v="1"/>
    <x v="1"/>
    <d v="2024-09-17T00:00:00"/>
    <s v="Tuesday"/>
    <x v="15"/>
    <n v="21"/>
    <n v="9"/>
    <n v="1168"/>
    <n v="76"/>
    <n v="284"/>
    <n v="425"/>
    <n v="1.67208904109589"/>
    <s v="average"/>
    <n v="0"/>
  </r>
  <r>
    <n v="103"/>
    <x v="1"/>
    <x v="1"/>
    <d v="2024-06-01T00:00:00"/>
    <s v="Saturday"/>
    <x v="11"/>
    <n v="196"/>
    <n v="10"/>
    <n v="4858"/>
    <n v="598"/>
    <n v="503"/>
    <n v="153"/>
    <n v="1.25813091807328"/>
    <s v="low"/>
    <n v="0"/>
  </r>
  <r>
    <n v="104"/>
    <x v="0"/>
    <x v="1"/>
    <d v="2024-10-09T00:00:00"/>
    <s v="Wednesday"/>
    <x v="16"/>
    <n v="216"/>
    <n v="7"/>
    <n v="4501"/>
    <n v="391"/>
    <n v="468"/>
    <n v="330"/>
    <n v="1.2641635192179499"/>
    <s v="low"/>
    <n v="0"/>
  </r>
  <r>
    <n v="105"/>
    <x v="1"/>
    <x v="1"/>
    <d v="2024-07-29T00:00:00"/>
    <s v="Monday"/>
    <x v="9"/>
    <n v="273"/>
    <n v="1"/>
    <n v="407"/>
    <n v="330"/>
    <n v="486"/>
    <n v="391"/>
    <n v="3.9656019656019601"/>
    <s v="high"/>
    <n v="0"/>
  </r>
  <r>
    <n v="106"/>
    <x v="1"/>
    <x v="0"/>
    <d v="2024-03-05T00:00:00"/>
    <s v="Tuesday"/>
    <x v="12"/>
    <n v="253"/>
    <n v="0"/>
    <n v="4164"/>
    <n v="609"/>
    <n v="341"/>
    <n v="103"/>
    <n v="1.2528818443804"/>
    <s v="low"/>
    <n v="0"/>
  </r>
  <r>
    <n v="107"/>
    <x v="1"/>
    <x v="2"/>
    <d v="2024-03-14T00:00:00"/>
    <s v="Thursday"/>
    <x v="6"/>
    <n v="223"/>
    <n v="20"/>
    <n v="3408"/>
    <n v="675"/>
    <n v="160"/>
    <n v="77"/>
    <n v="1.2676056338028101"/>
    <s v="low"/>
    <n v="0"/>
  </r>
  <r>
    <n v="108"/>
    <x v="1"/>
    <x v="1"/>
    <d v="2024-02-11T00:00:00"/>
    <s v="Sunday"/>
    <x v="11"/>
    <n v="297"/>
    <n v="1"/>
    <n v="2741"/>
    <n v="695"/>
    <n v="548"/>
    <n v="390"/>
    <n v="1.5957679678949199"/>
    <s v="low"/>
    <n v="0"/>
  </r>
  <r>
    <n v="109"/>
    <x v="2"/>
    <x v="0"/>
    <d v="2024-02-05T00:00:00"/>
    <s v="Monday"/>
    <x v="8"/>
    <n v="70"/>
    <n v="20"/>
    <n v="1973"/>
    <n v="651"/>
    <n v="296"/>
    <n v="233"/>
    <n v="1.59807399898631"/>
    <s v="low"/>
    <n v="0"/>
  </r>
  <r>
    <n v="110"/>
    <x v="0"/>
    <x v="2"/>
    <d v="2024-02-21T00:00:00"/>
    <s v="Wednesday"/>
    <x v="14"/>
    <n v="170"/>
    <n v="11"/>
    <n v="3684"/>
    <n v="175"/>
    <n v="308"/>
    <n v="30"/>
    <n v="1.13925081433224"/>
    <s v="low"/>
    <n v="0"/>
  </r>
  <r>
    <n v="111"/>
    <x v="1"/>
    <x v="1"/>
    <d v="2024-07-10T00:00:00"/>
    <s v="Wednesday"/>
    <x v="2"/>
    <n v="107"/>
    <n v="5"/>
    <n v="3578"/>
    <n v="154"/>
    <n v="252"/>
    <n v="544"/>
    <n v="1.26551145891559"/>
    <s v="low"/>
    <n v="0"/>
  </r>
  <r>
    <n v="112"/>
    <x v="2"/>
    <x v="0"/>
    <d v="2024-02-10T00:00:00"/>
    <s v="Saturday"/>
    <x v="16"/>
    <n v="256"/>
    <n v="20"/>
    <n v="3183"/>
    <n v="639"/>
    <n v="248"/>
    <n v="510"/>
    <n v="1.4388941250392699"/>
    <s v="low"/>
    <n v="0"/>
  </r>
  <r>
    <n v="113"/>
    <x v="1"/>
    <x v="1"/>
    <d v="2024-05-10T00:00:00"/>
    <s v="Friday"/>
    <x v="13"/>
    <n v="100"/>
    <n v="2"/>
    <n v="3814"/>
    <n v="266"/>
    <n v="11"/>
    <n v="477"/>
    <n v="1.1976927110644899"/>
    <s v="low"/>
    <n v="0"/>
  </r>
  <r>
    <n v="114"/>
    <x v="1"/>
    <x v="1"/>
    <d v="2024-08-14T00:00:00"/>
    <s v="Wednesday"/>
    <x v="15"/>
    <n v="253"/>
    <n v="9"/>
    <n v="2880"/>
    <n v="606"/>
    <n v="308"/>
    <n v="655"/>
    <n v="1.5447916666666599"/>
    <s v="low"/>
    <n v="0"/>
  </r>
  <r>
    <n v="115"/>
    <x v="1"/>
    <x v="1"/>
    <d v="2024-04-11T00:00:00"/>
    <s v="Thursday"/>
    <x v="5"/>
    <n v="171"/>
    <n v="9"/>
    <n v="3201"/>
    <n v="499"/>
    <n v="111"/>
    <n v="243"/>
    <n v="1.26647922524211"/>
    <s v="low"/>
    <n v="0"/>
  </r>
  <r>
    <n v="116"/>
    <x v="2"/>
    <x v="1"/>
    <d v="2024-01-12T00:00:00"/>
    <s v="Friday"/>
    <x v="14"/>
    <n v="274"/>
    <n v="9"/>
    <n v="3292"/>
    <n v="286"/>
    <n v="10"/>
    <n v="580"/>
    <n v="1.2660996354799501"/>
    <s v="low"/>
    <n v="0"/>
  </r>
  <r>
    <n v="117"/>
    <x v="1"/>
    <x v="1"/>
    <d v="2024-04-27T00:00:00"/>
    <s v="Saturday"/>
    <x v="9"/>
    <n v="69"/>
    <n v="20"/>
    <n v="2936"/>
    <n v="229"/>
    <n v="196"/>
    <n v="636"/>
    <n v="1.3613760217983599"/>
    <s v="low"/>
    <n v="0"/>
  </r>
  <r>
    <n v="118"/>
    <x v="1"/>
    <x v="1"/>
    <d v="2024-01-21T00:00:00"/>
    <s v="Sunday"/>
    <x v="9"/>
    <n v="66"/>
    <n v="9"/>
    <n v="2580"/>
    <n v="456"/>
    <n v="36"/>
    <n v="594"/>
    <n v="1.4209302325581299"/>
    <s v="low"/>
    <n v="0"/>
  </r>
  <r>
    <n v="119"/>
    <x v="2"/>
    <x v="2"/>
    <d v="2024-06-16T00:00:00"/>
    <s v="Sunday"/>
    <x v="12"/>
    <n v="276"/>
    <n v="8"/>
    <n v="3453"/>
    <n v="184"/>
    <n v="207"/>
    <n v="136"/>
    <n v="1.1526209093541799"/>
    <s v="low"/>
    <n v="0"/>
  </r>
  <r>
    <n v="120"/>
    <x v="0"/>
    <x v="2"/>
    <d v="2024-03-25T00:00:00"/>
    <s v="Monday"/>
    <x v="3"/>
    <n v="92"/>
    <n v="7"/>
    <n v="2155"/>
    <n v="498"/>
    <n v="304"/>
    <n v="347"/>
    <n v="1.53317865429234"/>
    <s v="low"/>
    <n v="0"/>
  </r>
  <r>
    <n v="121"/>
    <x v="0"/>
    <x v="2"/>
    <d v="2024-07-22T00:00:00"/>
    <s v="Monday"/>
    <x v="13"/>
    <n v="83"/>
    <n v="14"/>
    <n v="4615"/>
    <n v="379"/>
    <n v="94"/>
    <n v="405"/>
    <n v="1.19024918743228"/>
    <s v="low"/>
    <n v="0"/>
  </r>
  <r>
    <n v="122"/>
    <x v="1"/>
    <x v="0"/>
    <d v="2024-07-07T00:00:00"/>
    <s v="Sunday"/>
    <x v="16"/>
    <n v="261"/>
    <n v="0"/>
    <n v="2197"/>
    <n v="603"/>
    <n v="392"/>
    <n v="654"/>
    <n v="1.75056895766954"/>
    <s v="average"/>
    <n v="0"/>
  </r>
  <r>
    <n v="123"/>
    <x v="0"/>
    <x v="1"/>
    <d v="2024-10-14T00:00:00"/>
    <s v="Monday"/>
    <x v="17"/>
    <n v="174"/>
    <n v="20"/>
    <n v="2737"/>
    <n v="629"/>
    <n v="228"/>
    <n v="664"/>
    <n v="1.5557179393496501"/>
    <s v="low"/>
    <n v="0"/>
  </r>
  <r>
    <n v="124"/>
    <x v="1"/>
    <x v="2"/>
    <d v="2024-07-28T00:00:00"/>
    <s v="Sunday"/>
    <x v="0"/>
    <n v="69"/>
    <n v="7"/>
    <n v="1005"/>
    <n v="148"/>
    <n v="48"/>
    <n v="39"/>
    <n v="1.23383084577114"/>
    <s v="low"/>
    <n v="0"/>
  </r>
  <r>
    <n v="125"/>
    <x v="2"/>
    <x v="1"/>
    <d v="2024-10-02T00:00:00"/>
    <s v="Wednesday"/>
    <x v="13"/>
    <n v="234"/>
    <n v="18"/>
    <n v="1161"/>
    <n v="402"/>
    <n v="466"/>
    <n v="380"/>
    <n v="2.0749354005167899"/>
    <s v="average"/>
    <n v="0"/>
  </r>
  <r>
    <n v="126"/>
    <x v="2"/>
    <x v="2"/>
    <d v="2024-03-20T00:00:00"/>
    <s v="Wednesday"/>
    <x v="15"/>
    <n v="36"/>
    <n v="11"/>
    <n v="3448"/>
    <n v="675"/>
    <n v="103"/>
    <n v="502"/>
    <n v="1.3712296983758701"/>
    <s v="low"/>
    <n v="0"/>
  </r>
  <r>
    <n v="127"/>
    <x v="0"/>
    <x v="1"/>
    <d v="2024-04-21T00:00:00"/>
    <s v="Sunday"/>
    <x v="5"/>
    <n v="298"/>
    <n v="20"/>
    <n v="3682"/>
    <n v="460"/>
    <n v="243"/>
    <n v="372"/>
    <n v="1.2919608908202"/>
    <s v="low"/>
    <n v="0"/>
  </r>
  <r>
    <n v="128"/>
    <x v="0"/>
    <x v="2"/>
    <d v="2024-07-02T00:00:00"/>
    <s v="Tuesday"/>
    <x v="3"/>
    <n v="128"/>
    <n v="20"/>
    <n v="546"/>
    <n v="412"/>
    <n v="284"/>
    <n v="195"/>
    <n v="2.6318681318681301"/>
    <s v="high"/>
    <n v="0"/>
  </r>
  <r>
    <n v="129"/>
    <x v="2"/>
    <x v="0"/>
    <d v="2024-01-11T00:00:00"/>
    <s v="Thursday"/>
    <x v="3"/>
    <n v="126"/>
    <n v="18"/>
    <n v="464"/>
    <n v="346"/>
    <n v="251"/>
    <n v="129"/>
    <n v="2.56465517241379"/>
    <s v="high"/>
    <n v="0"/>
  </r>
  <r>
    <n v="130"/>
    <x v="0"/>
    <x v="2"/>
    <d v="2024-04-20T00:00:00"/>
    <s v="Saturday"/>
    <x v="9"/>
    <n v="86"/>
    <n v="17"/>
    <n v="1958"/>
    <n v="341"/>
    <n v="153"/>
    <n v="611"/>
    <n v="1.56435137895812"/>
    <s v="low"/>
    <n v="0"/>
  </r>
  <r>
    <n v="131"/>
    <x v="0"/>
    <x v="2"/>
    <d v="2024-05-08T00:00:00"/>
    <s v="Wednesday"/>
    <x v="16"/>
    <n v="185"/>
    <n v="0"/>
    <n v="1479"/>
    <n v="117"/>
    <n v="28"/>
    <n v="135"/>
    <n v="1.1893171061528001"/>
    <s v="low"/>
    <n v="0"/>
  </r>
  <r>
    <n v="132"/>
    <x v="2"/>
    <x v="0"/>
    <d v="2024-03-30T00:00:00"/>
    <s v="Saturday"/>
    <x v="3"/>
    <n v="263"/>
    <n v="14"/>
    <n v="2223"/>
    <n v="58"/>
    <n v="131"/>
    <n v="432"/>
    <n v="1.2793522267206401"/>
    <s v="low"/>
    <n v="0"/>
  </r>
  <r>
    <n v="133"/>
    <x v="2"/>
    <x v="0"/>
    <d v="2024-07-04T00:00:00"/>
    <s v="Thursday"/>
    <x v="14"/>
    <n v="286"/>
    <n v="9"/>
    <n v="4254"/>
    <n v="612"/>
    <n v="113"/>
    <n v="463"/>
    <n v="1.2792665726375101"/>
    <s v="low"/>
    <n v="0"/>
  </r>
  <r>
    <n v="134"/>
    <x v="1"/>
    <x v="1"/>
    <d v="2024-08-22T00:00:00"/>
    <s v="Thursday"/>
    <x v="0"/>
    <n v="271"/>
    <n v="14"/>
    <n v="305"/>
    <n v="67"/>
    <n v="492"/>
    <n v="412"/>
    <n v="4.1836065573770496"/>
    <s v="high"/>
    <n v="0"/>
  </r>
  <r>
    <n v="135"/>
    <x v="0"/>
    <x v="2"/>
    <d v="2024-02-07T00:00:00"/>
    <s v="Wednesday"/>
    <x v="13"/>
    <n v="186"/>
    <n v="12"/>
    <n v="711"/>
    <n v="334"/>
    <n v="153"/>
    <n v="68"/>
    <n v="1.7805907172995701"/>
    <s v="average"/>
    <n v="0"/>
  </r>
  <r>
    <n v="136"/>
    <x v="1"/>
    <x v="0"/>
    <d v="2024-09-28T00:00:00"/>
    <s v="Saturday"/>
    <x v="0"/>
    <n v="130"/>
    <n v="13"/>
    <n v="2465"/>
    <n v="469"/>
    <n v="519"/>
    <n v="620"/>
    <n v="1.6523326572008099"/>
    <s v="average"/>
    <n v="0"/>
  </r>
  <r>
    <n v="137"/>
    <x v="1"/>
    <x v="2"/>
    <d v="2024-08-19T00:00:00"/>
    <s v="Monday"/>
    <x v="0"/>
    <n v="180"/>
    <n v="13"/>
    <n v="1921"/>
    <n v="428"/>
    <n v="349"/>
    <n v="465"/>
    <n v="1.6465382613222199"/>
    <s v="average"/>
    <n v="0"/>
  </r>
  <r>
    <n v="138"/>
    <x v="0"/>
    <x v="0"/>
    <d v="2024-06-09T00:00:00"/>
    <s v="Sunday"/>
    <x v="3"/>
    <n v="67"/>
    <n v="13"/>
    <n v="2138"/>
    <n v="388"/>
    <n v="158"/>
    <n v="486"/>
    <n v="1.4826941066417201"/>
    <s v="low"/>
    <n v="0"/>
  </r>
  <r>
    <n v="139"/>
    <x v="2"/>
    <x v="1"/>
    <d v="2024-02-19T00:00:00"/>
    <s v="Monday"/>
    <x v="13"/>
    <n v="188"/>
    <n v="3"/>
    <n v="3102"/>
    <n v="138"/>
    <n v="571"/>
    <n v="62"/>
    <n v="1.2485493230174001"/>
    <s v="low"/>
    <n v="0"/>
  </r>
  <r>
    <n v="140"/>
    <x v="1"/>
    <x v="1"/>
    <d v="2024-07-29T00:00:00"/>
    <s v="Monday"/>
    <x v="4"/>
    <n v="200"/>
    <n v="3"/>
    <n v="2946"/>
    <n v="686"/>
    <n v="435"/>
    <n v="53"/>
    <n v="1.39850644942294"/>
    <s v="low"/>
    <n v="0"/>
  </r>
  <r>
    <n v="141"/>
    <x v="1"/>
    <x v="0"/>
    <d v="2024-10-22T00:00:00"/>
    <s v="Tuesday"/>
    <x v="0"/>
    <n v="199"/>
    <n v="17"/>
    <n v="4206"/>
    <n v="222"/>
    <n v="160"/>
    <n v="673"/>
    <n v="1.25083214455539"/>
    <s v="low"/>
    <n v="0"/>
  </r>
  <r>
    <n v="142"/>
    <x v="0"/>
    <x v="2"/>
    <d v="2024-07-07T00:00:00"/>
    <s v="Sunday"/>
    <x v="13"/>
    <n v="33"/>
    <n v="19"/>
    <n v="991"/>
    <n v="785"/>
    <n v="287"/>
    <n v="588"/>
    <n v="2.6750756811301701"/>
    <s v="high"/>
    <n v="0"/>
  </r>
  <r>
    <n v="143"/>
    <x v="1"/>
    <x v="2"/>
    <d v="2024-05-16T00:00:00"/>
    <s v="Thursday"/>
    <x v="1"/>
    <n v="112"/>
    <n v="4"/>
    <n v="287"/>
    <n v="189"/>
    <n v="281"/>
    <n v="317"/>
    <n v="3.7421602787456401"/>
    <s v="high"/>
    <n v="0"/>
  </r>
  <r>
    <n v="144"/>
    <x v="0"/>
    <x v="0"/>
    <d v="2024-10-16T00:00:00"/>
    <s v="Wednesday"/>
    <x v="12"/>
    <n v="130"/>
    <n v="12"/>
    <n v="3333"/>
    <n v="76"/>
    <n v="147"/>
    <n v="649"/>
    <n v="1.2616261626162599"/>
    <s v="low"/>
    <n v="0"/>
  </r>
  <r>
    <n v="145"/>
    <x v="1"/>
    <x v="1"/>
    <d v="2024-08-02T00:00:00"/>
    <s v="Friday"/>
    <x v="6"/>
    <n v="63"/>
    <n v="1"/>
    <n v="3766"/>
    <n v="354"/>
    <n v="163"/>
    <n v="379"/>
    <n v="1.2379182156133799"/>
    <s v="low"/>
    <n v="0"/>
  </r>
  <r>
    <n v="146"/>
    <x v="0"/>
    <x v="2"/>
    <d v="2024-03-20T00:00:00"/>
    <s v="Wednesday"/>
    <x v="17"/>
    <n v="237"/>
    <n v="15"/>
    <n v="1339"/>
    <n v="777"/>
    <n v="52"/>
    <n v="691"/>
    <n v="2.13517550410754"/>
    <s v="average"/>
    <n v="0"/>
  </r>
  <r>
    <n v="147"/>
    <x v="0"/>
    <x v="2"/>
    <d v="2024-08-14T00:00:00"/>
    <s v="Wednesday"/>
    <x v="8"/>
    <n v="76"/>
    <n v="9"/>
    <n v="3442"/>
    <n v="284"/>
    <n v="222"/>
    <n v="525"/>
    <n v="1.29953515398024"/>
    <s v="low"/>
    <n v="0"/>
  </r>
  <r>
    <n v="148"/>
    <x v="0"/>
    <x v="2"/>
    <d v="2024-09-06T00:00:00"/>
    <s v="Friday"/>
    <x v="14"/>
    <n v="23"/>
    <n v="6"/>
    <n v="4366"/>
    <n v="688"/>
    <n v="317"/>
    <n v="47"/>
    <n v="1.2409528172240001"/>
    <s v="low"/>
    <n v="0"/>
  </r>
  <r>
    <n v="149"/>
    <x v="1"/>
    <x v="2"/>
    <d v="2024-06-03T00:00:00"/>
    <s v="Monday"/>
    <x v="0"/>
    <n v="23"/>
    <n v="15"/>
    <n v="1780"/>
    <n v="790"/>
    <n v="142"/>
    <n v="262"/>
    <n v="1.67078651685393"/>
    <s v="average"/>
    <n v="0"/>
  </r>
  <r>
    <n v="150"/>
    <x v="2"/>
    <x v="0"/>
    <d v="2024-08-08T00:00:00"/>
    <s v="Thursday"/>
    <x v="12"/>
    <n v="201"/>
    <n v="2"/>
    <n v="1489"/>
    <n v="137"/>
    <n v="391"/>
    <n v="546"/>
    <n v="1.7212894560107399"/>
    <s v="average"/>
    <n v="0"/>
  </r>
  <r>
    <n v="151"/>
    <x v="0"/>
    <x v="2"/>
    <d v="2024-07-22T00:00:00"/>
    <s v="Monday"/>
    <x v="8"/>
    <n v="227"/>
    <n v="20"/>
    <n v="396"/>
    <n v="451"/>
    <n v="21"/>
    <n v="471"/>
    <n v="3.3813131313131302"/>
    <s v="high"/>
    <n v="0"/>
  </r>
  <r>
    <n v="152"/>
    <x v="1"/>
    <x v="0"/>
    <d v="2024-08-01T00:00:00"/>
    <s v="Thursday"/>
    <x v="17"/>
    <n v="205"/>
    <n v="2"/>
    <n v="2421"/>
    <n v="122"/>
    <n v="416"/>
    <n v="22"/>
    <n v="1.2313093762907801"/>
    <s v="low"/>
    <n v="0"/>
  </r>
  <r>
    <n v="153"/>
    <x v="1"/>
    <x v="1"/>
    <d v="2024-08-11T00:00:00"/>
    <s v="Sunday"/>
    <x v="3"/>
    <n v="222"/>
    <n v="9"/>
    <n v="917"/>
    <n v="254"/>
    <n v="448"/>
    <n v="604"/>
    <n v="2.4242093784078498"/>
    <s v="high"/>
    <n v="0"/>
  </r>
  <r>
    <n v="154"/>
    <x v="2"/>
    <x v="1"/>
    <d v="2024-06-22T00:00:00"/>
    <s v="Saturday"/>
    <x v="0"/>
    <n v="291"/>
    <n v="16"/>
    <n v="1865"/>
    <n v="346"/>
    <n v="174"/>
    <n v="79"/>
    <n v="1.3211796246648699"/>
    <s v="low"/>
    <n v="0"/>
  </r>
  <r>
    <n v="155"/>
    <x v="0"/>
    <x v="0"/>
    <d v="2024-04-09T00:00:00"/>
    <s v="Tuesday"/>
    <x v="15"/>
    <n v="121"/>
    <n v="5"/>
    <n v="2912"/>
    <n v="364"/>
    <n v="153"/>
    <n v="242"/>
    <n v="1.2606456043956"/>
    <s v="low"/>
    <n v="0"/>
  </r>
  <r>
    <n v="156"/>
    <x v="2"/>
    <x v="1"/>
    <d v="2024-03-19T00:00:00"/>
    <s v="Tuesday"/>
    <x v="17"/>
    <n v="185"/>
    <n v="20"/>
    <n v="667"/>
    <n v="186"/>
    <n v="507"/>
    <n v="476"/>
    <n v="2.7526236881559201"/>
    <s v="high"/>
    <n v="0"/>
  </r>
  <r>
    <n v="157"/>
    <x v="1"/>
    <x v="1"/>
    <d v="2024-06-10T00:00:00"/>
    <s v="Monday"/>
    <x v="4"/>
    <n v="160"/>
    <n v="18"/>
    <n v="1286"/>
    <n v="455"/>
    <n v="71"/>
    <n v="481"/>
    <n v="1.78304821150855"/>
    <s v="average"/>
    <n v="0"/>
  </r>
  <r>
    <n v="158"/>
    <x v="1"/>
    <x v="2"/>
    <d v="2024-01-29T00:00:00"/>
    <s v="Monday"/>
    <x v="14"/>
    <n v="49"/>
    <n v="11"/>
    <n v="2933"/>
    <n v="524"/>
    <n v="77"/>
    <n v="318"/>
    <n v="1.3133310603477599"/>
    <s v="low"/>
    <n v="0"/>
  </r>
  <r>
    <n v="159"/>
    <x v="2"/>
    <x v="1"/>
    <d v="2024-05-26T00:00:00"/>
    <s v="Sunday"/>
    <x v="7"/>
    <n v="256"/>
    <n v="18"/>
    <n v="678"/>
    <n v="665"/>
    <n v="94"/>
    <n v="630"/>
    <n v="3.04867256637168"/>
    <s v="high"/>
    <n v="0"/>
  </r>
  <r>
    <n v="160"/>
    <x v="0"/>
    <x v="2"/>
    <d v="2024-10-10T00:00:00"/>
    <s v="Thursday"/>
    <x v="11"/>
    <n v="276"/>
    <n v="4"/>
    <n v="386"/>
    <n v="465"/>
    <n v="587"/>
    <n v="668"/>
    <n v="5.4559585492227898"/>
    <s v="high"/>
    <n v="1"/>
  </r>
  <r>
    <n v="161"/>
    <x v="2"/>
    <x v="1"/>
    <d v="2024-02-01T00:00:00"/>
    <s v="Thursday"/>
    <x v="2"/>
    <n v="40"/>
    <n v="7"/>
    <n v="3740"/>
    <n v="110"/>
    <n v="353"/>
    <n v="87"/>
    <n v="1.1470588235294099"/>
    <s v="low"/>
    <n v="0"/>
  </r>
  <r>
    <n v="162"/>
    <x v="0"/>
    <x v="2"/>
    <d v="2024-08-12T00:00:00"/>
    <s v="Monday"/>
    <x v="5"/>
    <n v="164"/>
    <n v="12"/>
    <n v="3649"/>
    <n v="541"/>
    <n v="537"/>
    <n v="625"/>
    <n v="1.4667032063579"/>
    <s v="low"/>
    <n v="0"/>
  </r>
  <r>
    <n v="163"/>
    <x v="2"/>
    <x v="2"/>
    <d v="2024-07-28T00:00:00"/>
    <s v="Sunday"/>
    <x v="3"/>
    <n v="188"/>
    <n v="3"/>
    <n v="2821"/>
    <n v="700"/>
    <n v="55"/>
    <n v="647"/>
    <n v="1.49698688408365"/>
    <s v="low"/>
    <n v="0"/>
  </r>
  <r>
    <n v="164"/>
    <x v="2"/>
    <x v="0"/>
    <d v="2024-10-12T00:00:00"/>
    <s v="Saturday"/>
    <x v="6"/>
    <n v="61"/>
    <n v="18"/>
    <n v="3216"/>
    <n v="295"/>
    <n v="260"/>
    <n v="673"/>
    <n v="1.3818407960199"/>
    <s v="low"/>
    <n v="0"/>
  </r>
  <r>
    <n v="165"/>
    <x v="2"/>
    <x v="1"/>
    <d v="2024-03-13T00:00:00"/>
    <s v="Wednesday"/>
    <x v="3"/>
    <n v="178"/>
    <n v="17"/>
    <n v="2915"/>
    <n v="322"/>
    <n v="403"/>
    <n v="133"/>
    <n v="1.2943396226415"/>
    <s v="low"/>
    <n v="0"/>
  </r>
  <r>
    <n v="166"/>
    <x v="2"/>
    <x v="1"/>
    <d v="2024-07-11T00:00:00"/>
    <s v="Thursday"/>
    <x v="8"/>
    <n v="280"/>
    <n v="11"/>
    <n v="2740"/>
    <n v="135"/>
    <n v="541"/>
    <n v="96"/>
    <n v="1.2817518248175099"/>
    <s v="low"/>
    <n v="0"/>
  </r>
  <r>
    <n v="167"/>
    <x v="1"/>
    <x v="2"/>
    <d v="2024-01-10T00:00:00"/>
    <s v="Wednesday"/>
    <x v="10"/>
    <n v="135"/>
    <n v="4"/>
    <n v="3020"/>
    <n v="321"/>
    <n v="186"/>
    <n v="220"/>
    <n v="1.2407284768211899"/>
    <s v="low"/>
    <n v="0"/>
  </r>
  <r>
    <n v="168"/>
    <x v="2"/>
    <x v="1"/>
    <d v="2024-03-20T00:00:00"/>
    <s v="Wednesday"/>
    <x v="12"/>
    <n v="39"/>
    <n v="10"/>
    <n v="682"/>
    <n v="307"/>
    <n v="105"/>
    <n v="520"/>
    <n v="2.3665689149560101"/>
    <s v="average"/>
    <n v="0"/>
  </r>
  <r>
    <n v="169"/>
    <x v="0"/>
    <x v="1"/>
    <d v="2024-03-08T00:00:00"/>
    <s v="Friday"/>
    <x v="2"/>
    <n v="244"/>
    <n v="1"/>
    <n v="4942"/>
    <n v="390"/>
    <n v="159"/>
    <n v="167"/>
    <n v="1.1448806151355699"/>
    <s v="low"/>
    <n v="0"/>
  </r>
  <r>
    <n v="170"/>
    <x v="2"/>
    <x v="2"/>
    <d v="2024-07-29T00:00:00"/>
    <s v="Monday"/>
    <x v="17"/>
    <n v="139"/>
    <n v="17"/>
    <n v="3034"/>
    <n v="697"/>
    <n v="245"/>
    <n v="455"/>
    <n v="1.46044825313118"/>
    <s v="low"/>
    <n v="0"/>
  </r>
  <r>
    <n v="171"/>
    <x v="2"/>
    <x v="1"/>
    <d v="2024-05-02T00:00:00"/>
    <s v="Thursday"/>
    <x v="17"/>
    <n v="256"/>
    <n v="9"/>
    <n v="2585"/>
    <n v="485"/>
    <n v="200"/>
    <n v="377"/>
    <n v="1.4108317214700099"/>
    <s v="low"/>
    <n v="0"/>
  </r>
  <r>
    <n v="172"/>
    <x v="0"/>
    <x v="1"/>
    <d v="2024-07-14T00:00:00"/>
    <s v="Sunday"/>
    <x v="9"/>
    <n v="148"/>
    <n v="1"/>
    <n v="4169"/>
    <n v="545"/>
    <n v="430"/>
    <n v="166"/>
    <n v="1.27368673542816"/>
    <s v="low"/>
    <n v="0"/>
  </r>
  <r>
    <n v="173"/>
    <x v="0"/>
    <x v="2"/>
    <d v="2024-09-03T00:00:00"/>
    <s v="Tuesday"/>
    <x v="3"/>
    <n v="102"/>
    <n v="8"/>
    <n v="3090"/>
    <n v="572"/>
    <n v="107"/>
    <n v="529"/>
    <n v="1.39093851132686"/>
    <s v="low"/>
    <n v="0"/>
  </r>
  <r>
    <n v="174"/>
    <x v="0"/>
    <x v="2"/>
    <d v="2024-08-18T00:00:00"/>
    <s v="Sunday"/>
    <x v="5"/>
    <n v="33"/>
    <n v="13"/>
    <n v="4255"/>
    <n v="155"/>
    <n v="449"/>
    <n v="94"/>
    <n v="1.1640423031727301"/>
    <s v="low"/>
    <n v="0"/>
  </r>
  <r>
    <n v="175"/>
    <x v="1"/>
    <x v="0"/>
    <d v="2024-01-28T00:00:00"/>
    <s v="Sunday"/>
    <x v="5"/>
    <n v="134"/>
    <n v="0"/>
    <n v="3297"/>
    <n v="519"/>
    <n v="384"/>
    <n v="242"/>
    <n v="1.3472854109796699"/>
    <s v="low"/>
    <n v="0"/>
  </r>
  <r>
    <n v="176"/>
    <x v="0"/>
    <x v="0"/>
    <d v="2024-06-12T00:00:00"/>
    <s v="Wednesday"/>
    <x v="4"/>
    <n v="261"/>
    <n v="4"/>
    <n v="861"/>
    <n v="736"/>
    <n v="345"/>
    <n v="150"/>
    <n v="2.4297328687572501"/>
    <s v="high"/>
    <n v="0"/>
  </r>
  <r>
    <n v="177"/>
    <x v="0"/>
    <x v="2"/>
    <d v="2024-08-28T00:00:00"/>
    <s v="Wednesday"/>
    <x v="10"/>
    <n v="96"/>
    <n v="17"/>
    <n v="3724"/>
    <n v="635"/>
    <n v="7"/>
    <n v="82"/>
    <n v="1.1944146079484399"/>
    <s v="low"/>
    <n v="0"/>
  </r>
  <r>
    <n v="178"/>
    <x v="1"/>
    <x v="0"/>
    <d v="2024-09-27T00:00:00"/>
    <s v="Friday"/>
    <x v="14"/>
    <n v="142"/>
    <n v="13"/>
    <n v="3517"/>
    <n v="118"/>
    <n v="297"/>
    <n v="244"/>
    <n v="1.18737560420813"/>
    <s v="low"/>
    <n v="0"/>
  </r>
  <r>
    <n v="179"/>
    <x v="2"/>
    <x v="0"/>
    <d v="2024-08-22T00:00:00"/>
    <s v="Thursday"/>
    <x v="12"/>
    <n v="143"/>
    <n v="4"/>
    <n v="564"/>
    <n v="118"/>
    <n v="513"/>
    <n v="612"/>
    <n v="3.2039007092198499"/>
    <s v="high"/>
    <n v="0"/>
  </r>
  <r>
    <n v="180"/>
    <x v="2"/>
    <x v="2"/>
    <d v="2024-05-29T00:00:00"/>
    <s v="Wednesday"/>
    <x v="2"/>
    <n v="63"/>
    <n v="16"/>
    <n v="3566"/>
    <n v="6"/>
    <n v="363"/>
    <n v="247"/>
    <n v="1.1727425687044299"/>
    <s v="low"/>
    <n v="0"/>
  </r>
  <r>
    <n v="181"/>
    <x v="2"/>
    <x v="1"/>
    <d v="2024-07-03T00:00:00"/>
    <s v="Wednesday"/>
    <x v="1"/>
    <n v="219"/>
    <n v="15"/>
    <n v="604"/>
    <n v="543"/>
    <n v="559"/>
    <n v="520"/>
    <n v="3.6854304635761501"/>
    <s v="high"/>
    <n v="1"/>
  </r>
  <r>
    <n v="182"/>
    <x v="1"/>
    <x v="0"/>
    <d v="2024-01-23T00:00:00"/>
    <s v="Tuesday"/>
    <x v="5"/>
    <n v="143"/>
    <n v="20"/>
    <n v="3219"/>
    <n v="387"/>
    <n v="261"/>
    <n v="17"/>
    <n v="1.2065858962410601"/>
    <s v="low"/>
    <n v="0"/>
  </r>
  <r>
    <n v="183"/>
    <x v="0"/>
    <x v="2"/>
    <d v="2024-02-23T00:00:00"/>
    <s v="Friday"/>
    <x v="13"/>
    <n v="193"/>
    <n v="20"/>
    <n v="4816"/>
    <n v="757"/>
    <n v="342"/>
    <n v="137"/>
    <n v="1.25664451827242"/>
    <s v="low"/>
    <n v="0"/>
  </r>
  <r>
    <n v="184"/>
    <x v="0"/>
    <x v="0"/>
    <d v="2024-03-30T00:00:00"/>
    <s v="Saturday"/>
    <x v="3"/>
    <n v="254"/>
    <n v="1"/>
    <n v="3856"/>
    <n v="717"/>
    <n v="492"/>
    <n v="647"/>
    <n v="1.48132780082987"/>
    <s v="low"/>
    <n v="0"/>
  </r>
  <r>
    <n v="185"/>
    <x v="1"/>
    <x v="2"/>
    <d v="2024-05-30T00:00:00"/>
    <s v="Thursday"/>
    <x v="12"/>
    <n v="223"/>
    <n v="17"/>
    <n v="1701"/>
    <n v="49"/>
    <n v="206"/>
    <n v="43"/>
    <n v="1.1751910640799501"/>
    <s v="low"/>
    <n v="0"/>
  </r>
  <r>
    <n v="186"/>
    <x v="1"/>
    <x v="0"/>
    <d v="2024-08-30T00:00:00"/>
    <s v="Friday"/>
    <x v="6"/>
    <n v="159"/>
    <n v="3"/>
    <n v="2125"/>
    <n v="42"/>
    <n v="197"/>
    <n v="293"/>
    <n v="1.25035294117647"/>
    <s v="low"/>
    <n v="0"/>
  </r>
  <r>
    <n v="187"/>
    <x v="1"/>
    <x v="0"/>
    <d v="2024-07-07T00:00:00"/>
    <s v="Sunday"/>
    <x v="11"/>
    <n v="274"/>
    <n v="11"/>
    <n v="3629"/>
    <n v="414"/>
    <n v="452"/>
    <n v="396"/>
    <n v="1.3477542022595701"/>
    <s v="low"/>
    <n v="0"/>
  </r>
  <r>
    <n v="188"/>
    <x v="1"/>
    <x v="1"/>
    <d v="2024-09-22T00:00:00"/>
    <s v="Sunday"/>
    <x v="2"/>
    <n v="299"/>
    <n v="9"/>
    <n v="2234"/>
    <n v="89"/>
    <n v="436"/>
    <n v="81"/>
    <n v="1.27126230975828"/>
    <s v="low"/>
    <n v="0"/>
  </r>
  <r>
    <n v="189"/>
    <x v="1"/>
    <x v="2"/>
    <d v="2024-06-13T00:00:00"/>
    <s v="Thursday"/>
    <x v="17"/>
    <n v="238"/>
    <n v="5"/>
    <n v="890"/>
    <n v="86"/>
    <n v="337"/>
    <n v="677"/>
    <n v="2.2359550561797699"/>
    <s v="average"/>
    <n v="0"/>
  </r>
  <r>
    <n v="190"/>
    <x v="2"/>
    <x v="2"/>
    <d v="2024-08-15T00:00:00"/>
    <s v="Thursday"/>
    <x v="15"/>
    <n v="49"/>
    <n v="2"/>
    <n v="2929"/>
    <n v="462"/>
    <n v="45"/>
    <n v="362"/>
    <n v="1.2966882895186"/>
    <s v="low"/>
    <n v="0"/>
  </r>
  <r>
    <n v="191"/>
    <x v="0"/>
    <x v="1"/>
    <d v="2024-07-26T00:00:00"/>
    <s v="Friday"/>
    <x v="17"/>
    <n v="37"/>
    <n v="4"/>
    <n v="3026"/>
    <n v="530"/>
    <n v="165"/>
    <n v="32"/>
    <n v="1.2402511566424299"/>
    <s v="low"/>
    <n v="0"/>
  </r>
  <r>
    <n v="192"/>
    <x v="1"/>
    <x v="1"/>
    <d v="2024-02-04T00:00:00"/>
    <s v="Sunday"/>
    <x v="14"/>
    <n v="98"/>
    <n v="14"/>
    <n v="1983"/>
    <n v="665"/>
    <n v="377"/>
    <n v="371"/>
    <n v="1.7125567322238999"/>
    <s v="average"/>
    <n v="0"/>
  </r>
  <r>
    <n v="193"/>
    <x v="0"/>
    <x v="1"/>
    <d v="2024-07-08T00:00:00"/>
    <s v="Monday"/>
    <x v="5"/>
    <n v="223"/>
    <n v="10"/>
    <n v="3097"/>
    <n v="459"/>
    <n v="80"/>
    <n v="588"/>
    <n v="1.3639005489183"/>
    <s v="low"/>
    <n v="0"/>
  </r>
  <r>
    <n v="194"/>
    <x v="1"/>
    <x v="1"/>
    <d v="2024-05-22T00:00:00"/>
    <s v="Wednesday"/>
    <x v="7"/>
    <n v="80"/>
    <n v="8"/>
    <n v="2094"/>
    <n v="121"/>
    <n v="28"/>
    <n v="191"/>
    <n v="1.1623686723973199"/>
    <s v="low"/>
    <n v="0"/>
  </r>
  <r>
    <n v="195"/>
    <x v="0"/>
    <x v="0"/>
    <d v="2024-05-13T00:00:00"/>
    <s v="Monday"/>
    <x v="9"/>
    <n v="57"/>
    <n v="14"/>
    <n v="3705"/>
    <n v="224"/>
    <n v="294"/>
    <n v="503"/>
    <n v="1.27557354925775"/>
    <s v="low"/>
    <n v="0"/>
  </r>
  <r>
    <n v="196"/>
    <x v="1"/>
    <x v="1"/>
    <d v="2024-03-29T00:00:00"/>
    <s v="Friday"/>
    <x v="3"/>
    <n v="297"/>
    <n v="9"/>
    <n v="3696"/>
    <n v="94"/>
    <n v="329"/>
    <n v="684"/>
    <n v="1.29951298701298"/>
    <s v="low"/>
    <n v="0"/>
  </r>
  <r>
    <n v="197"/>
    <x v="2"/>
    <x v="0"/>
    <d v="2024-06-02T00:00:00"/>
    <s v="Sunday"/>
    <x v="0"/>
    <n v="122"/>
    <n v="4"/>
    <n v="1340"/>
    <n v="733"/>
    <n v="180"/>
    <n v="371"/>
    <n v="1.9582089552238799"/>
    <s v="average"/>
    <n v="0"/>
  </r>
  <r>
    <n v="198"/>
    <x v="2"/>
    <x v="2"/>
    <d v="2024-05-01T00:00:00"/>
    <s v="Wednesday"/>
    <x v="17"/>
    <n v="86"/>
    <n v="19"/>
    <n v="4097"/>
    <n v="31"/>
    <n v="371"/>
    <n v="568"/>
    <n v="1.23675860385648"/>
    <s v="low"/>
    <n v="0"/>
  </r>
  <r>
    <n v="199"/>
    <x v="2"/>
    <x v="2"/>
    <d v="2024-02-14T00:00:00"/>
    <s v="Wednesday"/>
    <x v="8"/>
    <n v="57"/>
    <n v="4"/>
    <n v="588"/>
    <n v="321"/>
    <n v="409"/>
    <n v="491"/>
    <n v="3.0765306122448899"/>
    <s v="high"/>
    <n v="0"/>
  </r>
  <r>
    <n v="200"/>
    <x v="2"/>
    <x v="2"/>
    <d v="2024-06-11T00:00:00"/>
    <s v="Tuesday"/>
    <x v="9"/>
    <n v="113"/>
    <n v="4"/>
    <n v="657"/>
    <n v="465"/>
    <n v="479"/>
    <n v="697"/>
    <n v="3.49771689497716"/>
    <s v="high"/>
    <n v="0"/>
  </r>
  <r>
    <n v="201"/>
    <x v="0"/>
    <x v="2"/>
    <d v="2024-08-09T00:00:00"/>
    <s v="Friday"/>
    <x v="2"/>
    <n v="102"/>
    <n v="10"/>
    <n v="4169"/>
    <n v="61"/>
    <n v="129"/>
    <n v="531"/>
    <n v="1.17294315183497"/>
    <s v="low"/>
    <n v="0"/>
  </r>
  <r>
    <n v="202"/>
    <x v="1"/>
    <x v="0"/>
    <d v="2024-04-25T00:00:00"/>
    <s v="Thursday"/>
    <x v="13"/>
    <n v="160"/>
    <n v="4"/>
    <n v="2884"/>
    <n v="536"/>
    <n v="292"/>
    <n v="81"/>
    <n v="1.3151872399445199"/>
    <s v="low"/>
    <n v="0"/>
  </r>
  <r>
    <n v="203"/>
    <x v="0"/>
    <x v="1"/>
    <d v="2024-06-04T00:00:00"/>
    <s v="Tuesday"/>
    <x v="9"/>
    <n v="107"/>
    <n v="19"/>
    <n v="4420"/>
    <n v="100"/>
    <n v="516"/>
    <n v="657"/>
    <n v="1.28800904977375"/>
    <s v="low"/>
    <n v="0"/>
  </r>
  <r>
    <n v="204"/>
    <x v="0"/>
    <x v="1"/>
    <d v="2024-06-21T00:00:00"/>
    <s v="Friday"/>
    <x v="15"/>
    <n v="127"/>
    <n v="18"/>
    <n v="4667"/>
    <n v="47"/>
    <n v="31"/>
    <n v="84"/>
    <n v="1.03471180629955"/>
    <s v="low"/>
    <n v="0"/>
  </r>
  <r>
    <n v="205"/>
    <x v="2"/>
    <x v="2"/>
    <d v="2024-08-01T00:00:00"/>
    <s v="Thursday"/>
    <x v="11"/>
    <n v="145"/>
    <n v="12"/>
    <n v="298"/>
    <n v="514"/>
    <n v="560"/>
    <n v="297"/>
    <n v="5.60067114093959"/>
    <s v="high"/>
    <n v="1"/>
  </r>
  <r>
    <n v="206"/>
    <x v="1"/>
    <x v="2"/>
    <d v="2024-06-01T00:00:00"/>
    <s v="Saturday"/>
    <x v="11"/>
    <n v="257"/>
    <n v="6"/>
    <n v="3765"/>
    <n v="79"/>
    <n v="63"/>
    <n v="162"/>
    <n v="1.08074369189907"/>
    <s v="low"/>
    <n v="0"/>
  </r>
  <r>
    <n v="207"/>
    <x v="1"/>
    <x v="0"/>
    <d v="2024-06-23T00:00:00"/>
    <s v="Sunday"/>
    <x v="5"/>
    <n v="283"/>
    <n v="17"/>
    <n v="1226"/>
    <n v="325"/>
    <n v="328"/>
    <n v="354"/>
    <n v="1.8213703099510601"/>
    <s v="average"/>
    <n v="0"/>
  </r>
  <r>
    <n v="208"/>
    <x v="1"/>
    <x v="2"/>
    <d v="2024-02-24T00:00:00"/>
    <s v="Saturday"/>
    <x v="16"/>
    <n v="92"/>
    <n v="3"/>
    <n v="2664"/>
    <n v="252"/>
    <n v="479"/>
    <n v="126"/>
    <n v="1.3216966966966901"/>
    <s v="low"/>
    <n v="0"/>
  </r>
  <r>
    <n v="209"/>
    <x v="0"/>
    <x v="2"/>
    <d v="2024-01-26T00:00:00"/>
    <s v="Friday"/>
    <x v="6"/>
    <n v="117"/>
    <n v="5"/>
    <n v="2427"/>
    <n v="398"/>
    <n v="430"/>
    <n v="255"/>
    <n v="1.44622991347342"/>
    <s v="low"/>
    <n v="0"/>
  </r>
  <r>
    <n v="210"/>
    <x v="1"/>
    <x v="0"/>
    <d v="2024-09-12T00:00:00"/>
    <s v="Thursday"/>
    <x v="3"/>
    <n v="221"/>
    <n v="16"/>
    <n v="4266"/>
    <n v="483"/>
    <n v="512"/>
    <n v="316"/>
    <n v="1.30731364275668"/>
    <s v="low"/>
    <n v="0"/>
  </r>
  <r>
    <n v="211"/>
    <x v="0"/>
    <x v="0"/>
    <d v="2024-08-22T00:00:00"/>
    <s v="Thursday"/>
    <x v="4"/>
    <n v="273"/>
    <n v="19"/>
    <n v="2022"/>
    <n v="225"/>
    <n v="599"/>
    <n v="362"/>
    <n v="1.5865479723046401"/>
    <s v="low"/>
    <n v="0"/>
  </r>
  <r>
    <n v="212"/>
    <x v="1"/>
    <x v="0"/>
    <d v="2024-08-28T00:00:00"/>
    <s v="Wednesday"/>
    <x v="15"/>
    <n v="207"/>
    <n v="12"/>
    <n v="2390"/>
    <n v="554"/>
    <n v="10"/>
    <n v="111"/>
    <n v="1.2824267782426699"/>
    <s v="low"/>
    <n v="0"/>
  </r>
  <r>
    <n v="213"/>
    <x v="2"/>
    <x v="0"/>
    <d v="2024-07-06T00:00:00"/>
    <s v="Saturday"/>
    <x v="5"/>
    <n v="167"/>
    <n v="2"/>
    <n v="420"/>
    <n v="415"/>
    <n v="54"/>
    <n v="584"/>
    <n v="3.50714285714285"/>
    <s v="high"/>
    <n v="0"/>
  </r>
  <r>
    <n v="214"/>
    <x v="2"/>
    <x v="1"/>
    <d v="2024-07-16T00:00:00"/>
    <s v="Tuesday"/>
    <x v="0"/>
    <n v="85"/>
    <n v="3"/>
    <n v="4180"/>
    <n v="466"/>
    <n v="565"/>
    <n v="287"/>
    <n v="1.3153110047846801"/>
    <s v="low"/>
    <n v="0"/>
  </r>
  <r>
    <n v="215"/>
    <x v="0"/>
    <x v="0"/>
    <d v="2024-07-20T00:00:00"/>
    <s v="Saturday"/>
    <x v="12"/>
    <n v="225"/>
    <n v="16"/>
    <n v="3107"/>
    <n v="352"/>
    <n v="573"/>
    <n v="375"/>
    <n v="1.4184100418409999"/>
    <s v="low"/>
    <n v="0"/>
  </r>
  <r>
    <n v="216"/>
    <x v="1"/>
    <x v="1"/>
    <d v="2024-01-21T00:00:00"/>
    <s v="Sunday"/>
    <x v="17"/>
    <n v="96"/>
    <n v="19"/>
    <n v="421"/>
    <n v="44"/>
    <n v="142"/>
    <n v="342"/>
    <n v="2.2541567695962001"/>
    <s v="average"/>
    <n v="0"/>
  </r>
  <r>
    <n v="217"/>
    <x v="1"/>
    <x v="1"/>
    <d v="2024-09-20T00:00:00"/>
    <s v="Friday"/>
    <x v="4"/>
    <n v="192"/>
    <n v="16"/>
    <n v="1195"/>
    <n v="340"/>
    <n v="328"/>
    <n v="167"/>
    <n v="1.69874476987447"/>
    <s v="average"/>
    <n v="0"/>
  </r>
  <r>
    <n v="218"/>
    <x v="1"/>
    <x v="0"/>
    <d v="2024-09-17T00:00:00"/>
    <s v="Tuesday"/>
    <x v="5"/>
    <n v="189"/>
    <n v="3"/>
    <n v="4410"/>
    <n v="506"/>
    <n v="578"/>
    <n v="307"/>
    <n v="1.3154195011337799"/>
    <s v="low"/>
    <n v="0"/>
  </r>
  <r>
    <n v="219"/>
    <x v="1"/>
    <x v="2"/>
    <d v="2024-08-01T00:00:00"/>
    <s v="Thursday"/>
    <x v="16"/>
    <n v="46"/>
    <n v="18"/>
    <n v="4831"/>
    <n v="320"/>
    <n v="29"/>
    <n v="612"/>
    <n v="1.1989236182984799"/>
    <s v="low"/>
    <n v="0"/>
  </r>
  <r>
    <n v="220"/>
    <x v="2"/>
    <x v="0"/>
    <d v="2024-09-02T00:00:00"/>
    <s v="Monday"/>
    <x v="14"/>
    <n v="76"/>
    <n v="6"/>
    <n v="1446"/>
    <n v="541"/>
    <n v="391"/>
    <n v="152"/>
    <n v="1.7496542185338799"/>
    <s v="average"/>
    <n v="0"/>
  </r>
  <r>
    <n v="221"/>
    <x v="1"/>
    <x v="1"/>
    <d v="2024-01-10T00:00:00"/>
    <s v="Wednesday"/>
    <x v="10"/>
    <n v="230"/>
    <n v="16"/>
    <n v="3662"/>
    <n v="326"/>
    <n v="430"/>
    <n v="156"/>
    <n v="1.2490442381212401"/>
    <s v="low"/>
    <n v="0"/>
  </r>
  <r>
    <n v="222"/>
    <x v="0"/>
    <x v="1"/>
    <d v="2024-08-29T00:00:00"/>
    <s v="Thursday"/>
    <x v="6"/>
    <n v="264"/>
    <n v="16"/>
    <n v="560"/>
    <n v="727"/>
    <n v="143"/>
    <n v="532"/>
    <n v="3.5035714285714201"/>
    <s v="high"/>
    <n v="0"/>
  </r>
  <r>
    <n v="223"/>
    <x v="1"/>
    <x v="1"/>
    <d v="2024-07-11T00:00:00"/>
    <s v="Thursday"/>
    <x v="5"/>
    <n v="155"/>
    <n v="19"/>
    <n v="2620"/>
    <n v="182"/>
    <n v="472"/>
    <n v="546"/>
    <n v="1.45801526717557"/>
    <s v="low"/>
    <n v="0"/>
  </r>
  <r>
    <n v="224"/>
    <x v="1"/>
    <x v="0"/>
    <d v="2024-09-04T00:00:00"/>
    <s v="Wednesday"/>
    <x v="4"/>
    <n v="167"/>
    <n v="6"/>
    <n v="1625"/>
    <n v="257"/>
    <n v="287"/>
    <n v="572"/>
    <n v="1.6867692307692299"/>
    <s v="average"/>
    <n v="0"/>
  </r>
  <r>
    <n v="225"/>
    <x v="2"/>
    <x v="2"/>
    <d v="2024-09-07T00:00:00"/>
    <s v="Saturday"/>
    <x v="4"/>
    <n v="82"/>
    <n v="18"/>
    <n v="2647"/>
    <n v="496"/>
    <n v="359"/>
    <n v="574"/>
    <n v="1.5398564412542499"/>
    <s v="low"/>
    <n v="0"/>
  </r>
  <r>
    <n v="226"/>
    <x v="1"/>
    <x v="0"/>
    <d v="2024-10-05T00:00:00"/>
    <s v="Saturday"/>
    <x v="4"/>
    <n v="60"/>
    <n v="11"/>
    <n v="3160"/>
    <n v="409"/>
    <n v="355"/>
    <n v="150"/>
    <n v="1.2892405063291099"/>
    <s v="low"/>
    <n v="0"/>
  </r>
  <r>
    <n v="227"/>
    <x v="0"/>
    <x v="1"/>
    <d v="2024-08-14T00:00:00"/>
    <s v="Wednesday"/>
    <x v="15"/>
    <n v="159"/>
    <n v="4"/>
    <n v="2150"/>
    <n v="770"/>
    <n v="492"/>
    <n v="220"/>
    <n v="1.6893023255813899"/>
    <s v="average"/>
    <n v="0"/>
  </r>
  <r>
    <n v="228"/>
    <x v="2"/>
    <x v="1"/>
    <d v="2024-02-25T00:00:00"/>
    <s v="Sunday"/>
    <x v="16"/>
    <n v="139"/>
    <n v="1"/>
    <n v="4857"/>
    <n v="250"/>
    <n v="250"/>
    <n v="52"/>
    <n v="1.11365040148239"/>
    <s v="low"/>
    <n v="0"/>
  </r>
  <r>
    <n v="229"/>
    <x v="2"/>
    <x v="0"/>
    <d v="2024-02-21T00:00:00"/>
    <s v="Wednesday"/>
    <x v="1"/>
    <n v="100"/>
    <n v="13"/>
    <n v="3435"/>
    <n v="343"/>
    <n v="485"/>
    <n v="103"/>
    <n v="1.2710334788937401"/>
    <s v="low"/>
    <n v="0"/>
  </r>
  <r>
    <n v="230"/>
    <x v="1"/>
    <x v="2"/>
    <d v="2024-08-31T00:00:00"/>
    <s v="Saturday"/>
    <x v="14"/>
    <n v="65"/>
    <n v="20"/>
    <n v="3961"/>
    <n v="671"/>
    <n v="206"/>
    <n v="295"/>
    <n v="1.29588487755617"/>
    <s v="low"/>
    <n v="0"/>
  </r>
  <r>
    <n v="231"/>
    <x v="1"/>
    <x v="0"/>
    <d v="2024-10-20T00:00:00"/>
    <s v="Sunday"/>
    <x v="14"/>
    <n v="223"/>
    <n v="15"/>
    <n v="1952"/>
    <n v="552"/>
    <n v="40"/>
    <n v="180"/>
    <n v="1.3954918032786801"/>
    <s v="low"/>
    <n v="0"/>
  </r>
  <r>
    <n v="232"/>
    <x v="2"/>
    <x v="1"/>
    <d v="2024-04-05T00:00:00"/>
    <s v="Friday"/>
    <x v="0"/>
    <n v="191"/>
    <n v="9"/>
    <n v="2421"/>
    <n v="43"/>
    <n v="11"/>
    <n v="306"/>
    <n v="1.1486988847583599"/>
    <s v="low"/>
    <n v="0"/>
  </r>
  <r>
    <n v="233"/>
    <x v="2"/>
    <x v="2"/>
    <d v="2024-08-20T00:00:00"/>
    <s v="Tuesday"/>
    <x v="15"/>
    <n v="118"/>
    <n v="3"/>
    <n v="4500"/>
    <n v="541"/>
    <n v="507"/>
    <n v="138"/>
    <n v="1.26355555555555"/>
    <s v="low"/>
    <n v="0"/>
  </r>
  <r>
    <n v="234"/>
    <x v="1"/>
    <x v="1"/>
    <d v="2024-06-18T00:00:00"/>
    <s v="Tuesday"/>
    <x v="2"/>
    <n v="27"/>
    <n v="10"/>
    <n v="1381"/>
    <n v="753"/>
    <n v="471"/>
    <n v="664"/>
    <n v="2.3671252715423599"/>
    <s v="average"/>
    <n v="0"/>
  </r>
  <r>
    <n v="235"/>
    <x v="2"/>
    <x v="1"/>
    <d v="2024-05-31T00:00:00"/>
    <s v="Friday"/>
    <x v="7"/>
    <n v="238"/>
    <n v="16"/>
    <n v="4701"/>
    <n v="695"/>
    <n v="199"/>
    <n v="180"/>
    <n v="1.22846202935545"/>
    <s v="low"/>
    <n v="0"/>
  </r>
  <r>
    <n v="236"/>
    <x v="0"/>
    <x v="2"/>
    <d v="2024-06-16T00:00:00"/>
    <s v="Sunday"/>
    <x v="6"/>
    <n v="147"/>
    <n v="0"/>
    <n v="760"/>
    <n v="415"/>
    <n v="99"/>
    <n v="190"/>
    <n v="1.92631578947368"/>
    <s v="average"/>
    <n v="0"/>
  </r>
  <r>
    <n v="237"/>
    <x v="1"/>
    <x v="2"/>
    <d v="2024-05-13T00:00:00"/>
    <s v="Monday"/>
    <x v="1"/>
    <n v="153"/>
    <n v="20"/>
    <n v="3192"/>
    <n v="246"/>
    <n v="459"/>
    <n v="274"/>
    <n v="1.3067042606516199"/>
    <s v="low"/>
    <n v="0"/>
  </r>
  <r>
    <n v="238"/>
    <x v="1"/>
    <x v="0"/>
    <d v="2024-07-03T00:00:00"/>
    <s v="Wednesday"/>
    <x v="7"/>
    <n v="277"/>
    <n v="9"/>
    <n v="1985"/>
    <n v="68"/>
    <n v="123"/>
    <n v="477"/>
    <n v="1.33652392947103"/>
    <s v="low"/>
    <n v="0"/>
  </r>
  <r>
    <n v="239"/>
    <x v="0"/>
    <x v="2"/>
    <d v="2024-03-01T00:00:00"/>
    <s v="Friday"/>
    <x v="9"/>
    <n v="252"/>
    <n v="19"/>
    <n v="2466"/>
    <n v="381"/>
    <n v="228"/>
    <n v="225"/>
    <n v="1.3381995133819899"/>
    <s v="low"/>
    <n v="0"/>
  </r>
  <r>
    <n v="240"/>
    <x v="2"/>
    <x v="1"/>
    <d v="2024-07-10T00:00:00"/>
    <s v="Wednesday"/>
    <x v="10"/>
    <n v="146"/>
    <n v="19"/>
    <n v="3456"/>
    <n v="723"/>
    <n v="564"/>
    <n v="483"/>
    <n v="1.5121527777777699"/>
    <s v="low"/>
    <n v="0"/>
  </r>
  <r>
    <n v="241"/>
    <x v="0"/>
    <x v="1"/>
    <d v="2024-02-11T00:00:00"/>
    <s v="Sunday"/>
    <x v="0"/>
    <n v="51"/>
    <n v="17"/>
    <n v="4354"/>
    <n v="462"/>
    <n v="542"/>
    <n v="371"/>
    <n v="1.31580156178226"/>
    <s v="low"/>
    <n v="0"/>
  </r>
  <r>
    <n v="242"/>
    <x v="0"/>
    <x v="2"/>
    <d v="2024-09-15T00:00:00"/>
    <s v="Sunday"/>
    <x v="12"/>
    <n v="246"/>
    <n v="3"/>
    <n v="1706"/>
    <n v="591"/>
    <n v="551"/>
    <n v="154"/>
    <n v="1.7596717467760801"/>
    <s v="average"/>
    <n v="0"/>
  </r>
  <r>
    <n v="243"/>
    <x v="1"/>
    <x v="0"/>
    <d v="2024-04-15T00:00:00"/>
    <s v="Monday"/>
    <x v="17"/>
    <n v="87"/>
    <n v="16"/>
    <n v="4827"/>
    <n v="505"/>
    <n v="95"/>
    <n v="523"/>
    <n v="1.23264967888957"/>
    <s v="low"/>
    <n v="0"/>
  </r>
  <r>
    <n v="244"/>
    <x v="1"/>
    <x v="1"/>
    <d v="2024-07-31T00:00:00"/>
    <s v="Wednesday"/>
    <x v="4"/>
    <n v="31"/>
    <n v="12"/>
    <n v="3792"/>
    <n v="582"/>
    <n v="61"/>
    <n v="573"/>
    <n v="1.3206751054852299"/>
    <s v="low"/>
    <n v="0"/>
  </r>
  <r>
    <n v="245"/>
    <x v="0"/>
    <x v="0"/>
    <d v="2024-05-10T00:00:00"/>
    <s v="Friday"/>
    <x v="8"/>
    <n v="196"/>
    <n v="2"/>
    <n v="74"/>
    <n v="768"/>
    <n v="225"/>
    <n v="593"/>
    <n v="22.4324324324324"/>
    <s v="high"/>
    <n v="0"/>
  </r>
  <r>
    <n v="246"/>
    <x v="1"/>
    <x v="2"/>
    <d v="2024-10-04T00:00:00"/>
    <s v="Friday"/>
    <x v="2"/>
    <n v="89"/>
    <n v="20"/>
    <n v="543"/>
    <n v="75"/>
    <n v="485"/>
    <n v="33"/>
    <n v="2.0920810313075502"/>
    <s v="average"/>
    <n v="0"/>
  </r>
  <r>
    <n v="247"/>
    <x v="1"/>
    <x v="0"/>
    <d v="2024-08-03T00:00:00"/>
    <s v="Saturday"/>
    <x v="13"/>
    <n v="88"/>
    <n v="20"/>
    <n v="3117"/>
    <n v="396"/>
    <n v="461"/>
    <n v="387"/>
    <n v="1.3991017003529"/>
    <s v="low"/>
    <n v="0"/>
  </r>
  <r>
    <n v="248"/>
    <x v="2"/>
    <x v="0"/>
    <d v="2024-06-27T00:00:00"/>
    <s v="Thursday"/>
    <x v="16"/>
    <n v="21"/>
    <n v="0"/>
    <n v="1021"/>
    <n v="187"/>
    <n v="552"/>
    <n v="403"/>
    <n v="2.1185112634671799"/>
    <s v="average"/>
    <n v="1"/>
  </r>
  <r>
    <n v="249"/>
    <x v="2"/>
    <x v="2"/>
    <d v="2024-06-01T00:00:00"/>
    <s v="Saturday"/>
    <x v="16"/>
    <n v="146"/>
    <n v="14"/>
    <n v="3842"/>
    <n v="694"/>
    <n v="559"/>
    <n v="435"/>
    <n v="1.4393545028630901"/>
    <s v="low"/>
    <n v="0"/>
  </r>
  <r>
    <n v="250"/>
    <x v="0"/>
    <x v="1"/>
    <d v="2024-06-26T00:00:00"/>
    <s v="Wednesday"/>
    <x v="8"/>
    <n v="28"/>
    <n v="7"/>
    <n v="1320"/>
    <n v="287"/>
    <n v="195"/>
    <n v="116"/>
    <n v="1.4530303030303"/>
    <s v="low"/>
    <n v="0"/>
  </r>
  <r>
    <n v="251"/>
    <x v="2"/>
    <x v="1"/>
    <d v="2024-04-15T00:00:00"/>
    <s v="Monday"/>
    <x v="14"/>
    <n v="145"/>
    <n v="1"/>
    <n v="601"/>
    <n v="108"/>
    <n v="36"/>
    <n v="458"/>
    <n v="2.00166389351081"/>
    <s v="average"/>
    <n v="0"/>
  </r>
  <r>
    <n v="252"/>
    <x v="0"/>
    <x v="0"/>
    <d v="2024-07-24T00:00:00"/>
    <s v="Wednesday"/>
    <x v="12"/>
    <n v="168"/>
    <n v="7"/>
    <n v="3645"/>
    <n v="244"/>
    <n v="554"/>
    <n v="223"/>
    <n v="1.28010973936899"/>
    <s v="low"/>
    <n v="0"/>
  </r>
  <r>
    <n v="253"/>
    <x v="1"/>
    <x v="0"/>
    <d v="2024-10-21T00:00:00"/>
    <s v="Monday"/>
    <x v="12"/>
    <n v="133"/>
    <n v="13"/>
    <n v="2662"/>
    <n v="596"/>
    <n v="330"/>
    <n v="243"/>
    <n v="1.43914350112697"/>
    <s v="low"/>
    <n v="0"/>
  </r>
  <r>
    <n v="254"/>
    <x v="2"/>
    <x v="0"/>
    <d v="2024-06-02T00:00:00"/>
    <s v="Sunday"/>
    <x v="8"/>
    <n v="273"/>
    <n v="1"/>
    <n v="2304"/>
    <n v="67"/>
    <n v="572"/>
    <n v="606"/>
    <n v="1.5403645833333299"/>
    <s v="low"/>
    <n v="0"/>
  </r>
  <r>
    <n v="255"/>
    <x v="1"/>
    <x v="0"/>
    <d v="2024-06-25T00:00:00"/>
    <s v="Tuesday"/>
    <x v="4"/>
    <n v="212"/>
    <n v="5"/>
    <n v="3172"/>
    <n v="542"/>
    <n v="328"/>
    <n v="427"/>
    <n v="1.40889029003783"/>
    <s v="low"/>
    <n v="0"/>
  </r>
  <r>
    <n v="256"/>
    <x v="2"/>
    <x v="0"/>
    <d v="2024-10-02T00:00:00"/>
    <s v="Wednesday"/>
    <x v="17"/>
    <n v="49"/>
    <n v="17"/>
    <n v="3929"/>
    <n v="251"/>
    <n v="232"/>
    <n v="308"/>
    <n v="1.2013234919826901"/>
    <s v="low"/>
    <n v="0"/>
  </r>
  <r>
    <n v="257"/>
    <x v="1"/>
    <x v="0"/>
    <d v="2024-07-30T00:00:00"/>
    <s v="Tuesday"/>
    <x v="15"/>
    <n v="124"/>
    <n v="10"/>
    <n v="3462"/>
    <n v="575"/>
    <n v="544"/>
    <n v="138"/>
    <n v="1.36308492201039"/>
    <s v="low"/>
    <n v="0"/>
  </r>
  <r>
    <n v="258"/>
    <x v="2"/>
    <x v="0"/>
    <d v="2024-02-10T00:00:00"/>
    <s v="Saturday"/>
    <x v="14"/>
    <n v="157"/>
    <n v="12"/>
    <n v="3734"/>
    <n v="384"/>
    <n v="96"/>
    <n v="549"/>
    <n v="1.27557579003749"/>
    <s v="low"/>
    <n v="0"/>
  </r>
  <r>
    <n v="259"/>
    <x v="1"/>
    <x v="0"/>
    <d v="2024-01-21T00:00:00"/>
    <s v="Sunday"/>
    <x v="6"/>
    <n v="175"/>
    <n v="0"/>
    <n v="646"/>
    <n v="197"/>
    <n v="574"/>
    <n v="223"/>
    <n v="2.5386996904024701"/>
    <s v="high"/>
    <n v="1"/>
  </r>
  <r>
    <n v="260"/>
    <x v="0"/>
    <x v="1"/>
    <d v="2024-04-18T00:00:00"/>
    <s v="Thursday"/>
    <x v="10"/>
    <n v="223"/>
    <n v="7"/>
    <n v="1606"/>
    <n v="764"/>
    <n v="122"/>
    <n v="491"/>
    <n v="1.8574097135740899"/>
    <s v="average"/>
    <n v="0"/>
  </r>
  <r>
    <n v="261"/>
    <x v="1"/>
    <x v="1"/>
    <d v="2024-10-09T00:00:00"/>
    <s v="Wednesday"/>
    <x v="5"/>
    <n v="177"/>
    <n v="8"/>
    <n v="2684"/>
    <n v="799"/>
    <n v="291"/>
    <n v="390"/>
    <n v="1.5514157973174301"/>
    <s v="low"/>
    <n v="0"/>
  </r>
  <r>
    <n v="262"/>
    <x v="2"/>
    <x v="2"/>
    <d v="2024-07-03T00:00:00"/>
    <s v="Wednesday"/>
    <x v="6"/>
    <n v="124"/>
    <n v="11"/>
    <n v="4250"/>
    <n v="514"/>
    <n v="479"/>
    <n v="101"/>
    <n v="1.25741176470588"/>
    <s v="low"/>
    <n v="0"/>
  </r>
  <r>
    <n v="263"/>
    <x v="2"/>
    <x v="0"/>
    <d v="2024-06-09T00:00:00"/>
    <s v="Sunday"/>
    <x v="1"/>
    <n v="153"/>
    <n v="17"/>
    <n v="3440"/>
    <n v="51"/>
    <n v="578"/>
    <n v="227"/>
    <n v="1.2488372093023199"/>
    <s v="low"/>
    <n v="0"/>
  </r>
  <r>
    <n v="264"/>
    <x v="0"/>
    <x v="0"/>
    <d v="2024-10-26T00:00:00"/>
    <s v="Saturday"/>
    <x v="6"/>
    <n v="137"/>
    <n v="12"/>
    <n v="4794"/>
    <n v="742"/>
    <n v="429"/>
    <n v="303"/>
    <n v="1.30746766791823"/>
    <s v="low"/>
    <n v="0"/>
  </r>
  <r>
    <n v="265"/>
    <x v="2"/>
    <x v="2"/>
    <d v="2024-10-18T00:00:00"/>
    <s v="Friday"/>
    <x v="15"/>
    <n v="270"/>
    <n v="20"/>
    <n v="2063"/>
    <n v="516"/>
    <n v="565"/>
    <n v="671"/>
    <n v="1.84924866698982"/>
    <s v="average"/>
    <n v="0"/>
  </r>
  <r>
    <n v="266"/>
    <x v="0"/>
    <x v="1"/>
    <d v="2024-09-08T00:00:00"/>
    <s v="Sunday"/>
    <x v="13"/>
    <n v="270"/>
    <n v="5"/>
    <n v="3825"/>
    <n v="177"/>
    <n v="362"/>
    <n v="174"/>
    <n v="1.1864052287581699"/>
    <s v="low"/>
    <n v="0"/>
  </r>
  <r>
    <n v="267"/>
    <x v="2"/>
    <x v="0"/>
    <d v="2024-10-04T00:00:00"/>
    <s v="Friday"/>
    <x v="1"/>
    <n v="231"/>
    <n v="4"/>
    <n v="531"/>
    <n v="541"/>
    <n v="36"/>
    <n v="77"/>
    <n v="2.2316384180790898"/>
    <s v="average"/>
    <n v="0"/>
  </r>
  <r>
    <n v="268"/>
    <x v="0"/>
    <x v="1"/>
    <d v="2024-04-28T00:00:00"/>
    <s v="Sunday"/>
    <x v="17"/>
    <n v="211"/>
    <n v="1"/>
    <n v="606"/>
    <n v="729"/>
    <n v="156"/>
    <n v="10"/>
    <n v="2.4768976897689701"/>
    <s v="high"/>
    <n v="0"/>
  </r>
  <r>
    <n v="269"/>
    <x v="2"/>
    <x v="2"/>
    <d v="2024-09-04T00:00:00"/>
    <s v="Wednesday"/>
    <x v="1"/>
    <n v="28"/>
    <n v="16"/>
    <n v="4046"/>
    <n v="21"/>
    <n v="8"/>
    <n v="545"/>
    <n v="1.1418685121107199"/>
    <s v="low"/>
    <n v="0"/>
  </r>
  <r>
    <n v="270"/>
    <x v="2"/>
    <x v="1"/>
    <d v="2024-05-20T00:00:00"/>
    <s v="Monday"/>
    <x v="8"/>
    <n v="111"/>
    <n v="3"/>
    <n v="4438"/>
    <n v="298"/>
    <n v="19"/>
    <n v="515"/>
    <n v="1.1874718341595301"/>
    <s v="low"/>
    <n v="0"/>
  </r>
  <r>
    <n v="271"/>
    <x v="2"/>
    <x v="1"/>
    <d v="2024-02-19T00:00:00"/>
    <s v="Monday"/>
    <x v="15"/>
    <n v="201"/>
    <n v="8"/>
    <n v="4345"/>
    <n v="157"/>
    <n v="248"/>
    <n v="197"/>
    <n v="1.1385500575373899"/>
    <s v="low"/>
    <n v="0"/>
  </r>
  <r>
    <n v="272"/>
    <x v="2"/>
    <x v="0"/>
    <d v="2024-07-22T00:00:00"/>
    <s v="Monday"/>
    <x v="16"/>
    <n v="173"/>
    <n v="2"/>
    <n v="697"/>
    <n v="387"/>
    <n v="417"/>
    <n v="471"/>
    <n v="2.82926829268292"/>
    <s v="high"/>
    <n v="0"/>
  </r>
  <r>
    <n v="273"/>
    <x v="2"/>
    <x v="2"/>
    <d v="2024-01-17T00:00:00"/>
    <s v="Wednesday"/>
    <x v="14"/>
    <n v="24"/>
    <n v="5"/>
    <n v="815"/>
    <n v="420"/>
    <n v="390"/>
    <n v="387"/>
    <n v="2.4687116564417102"/>
    <s v="high"/>
    <n v="0"/>
  </r>
  <r>
    <n v="274"/>
    <x v="0"/>
    <x v="1"/>
    <d v="2024-02-12T00:00:00"/>
    <s v="Monday"/>
    <x v="14"/>
    <n v="137"/>
    <n v="6"/>
    <n v="4144"/>
    <n v="449"/>
    <n v="341"/>
    <n v="580"/>
    <n v="1.33059845559845"/>
    <s v="low"/>
    <n v="0"/>
  </r>
  <r>
    <n v="275"/>
    <x v="2"/>
    <x v="2"/>
    <d v="2024-10-17T00:00:00"/>
    <s v="Thursday"/>
    <x v="13"/>
    <n v="36"/>
    <n v="5"/>
    <n v="3945"/>
    <n v="282"/>
    <n v="49"/>
    <n v="77"/>
    <n v="1.1034220532319301"/>
    <s v="low"/>
    <n v="0"/>
  </r>
  <r>
    <n v="276"/>
    <x v="0"/>
    <x v="2"/>
    <d v="2024-06-10T00:00:00"/>
    <s v="Monday"/>
    <x v="2"/>
    <n v="143"/>
    <n v="18"/>
    <n v="178"/>
    <n v="217"/>
    <n v="149"/>
    <n v="408"/>
    <n v="5.3483146067415701"/>
    <s v="high"/>
    <n v="0"/>
  </r>
  <r>
    <n v="277"/>
    <x v="2"/>
    <x v="1"/>
    <d v="2024-07-18T00:00:00"/>
    <s v="Thursday"/>
    <x v="3"/>
    <n v="276"/>
    <n v="11"/>
    <n v="4478"/>
    <n v="344"/>
    <n v="395"/>
    <n v="144"/>
    <n v="1.1971862438588601"/>
    <s v="low"/>
    <n v="0"/>
  </r>
  <r>
    <n v="278"/>
    <x v="1"/>
    <x v="1"/>
    <d v="2024-01-28T00:00:00"/>
    <s v="Sunday"/>
    <x v="7"/>
    <n v="187"/>
    <n v="0"/>
    <n v="850"/>
    <n v="452"/>
    <n v="239"/>
    <n v="78"/>
    <n v="1.9047058823529399"/>
    <s v="average"/>
    <n v="0"/>
  </r>
  <r>
    <n v="279"/>
    <x v="2"/>
    <x v="2"/>
    <d v="2024-05-19T00:00:00"/>
    <s v="Sunday"/>
    <x v="8"/>
    <n v="115"/>
    <n v="18"/>
    <n v="3740"/>
    <n v="507"/>
    <n v="235"/>
    <n v="365"/>
    <n v="1.2959893048128299"/>
    <s v="low"/>
    <n v="0"/>
  </r>
  <r>
    <n v="280"/>
    <x v="2"/>
    <x v="0"/>
    <d v="2024-07-13T00:00:00"/>
    <s v="Saturday"/>
    <x v="3"/>
    <n v="157"/>
    <n v="4"/>
    <n v="752"/>
    <n v="795"/>
    <n v="304"/>
    <n v="253"/>
    <n v="2.7978723404255299"/>
    <s v="high"/>
    <n v="0"/>
  </r>
  <r>
    <n v="281"/>
    <x v="1"/>
    <x v="0"/>
    <d v="2024-07-13T00:00:00"/>
    <s v="Saturday"/>
    <x v="3"/>
    <n v="22"/>
    <n v="9"/>
    <n v="1313"/>
    <n v="762"/>
    <n v="400"/>
    <n v="325"/>
    <n v="2.1325209444021298"/>
    <s v="average"/>
    <n v="0"/>
  </r>
  <r>
    <n v="282"/>
    <x v="0"/>
    <x v="0"/>
    <d v="2024-08-15T00:00:00"/>
    <s v="Thursday"/>
    <x v="2"/>
    <n v="240"/>
    <n v="14"/>
    <n v="2998"/>
    <n v="784"/>
    <n v="278"/>
    <n v="105"/>
    <n v="1.3892595063375499"/>
    <s v="low"/>
    <n v="0"/>
  </r>
  <r>
    <n v="283"/>
    <x v="0"/>
    <x v="0"/>
    <d v="2024-10-12T00:00:00"/>
    <s v="Saturday"/>
    <x v="5"/>
    <n v="67"/>
    <n v="19"/>
    <n v="4594"/>
    <n v="529"/>
    <n v="419"/>
    <n v="106"/>
    <n v="1.2294296909011699"/>
    <s v="low"/>
    <n v="0"/>
  </r>
  <r>
    <n v="284"/>
    <x v="1"/>
    <x v="0"/>
    <d v="2024-06-15T00:00:00"/>
    <s v="Saturday"/>
    <x v="13"/>
    <n v="144"/>
    <n v="18"/>
    <n v="3205"/>
    <n v="17"/>
    <n v="300"/>
    <n v="424"/>
    <n v="1.2312012480499199"/>
    <s v="low"/>
    <n v="0"/>
  </r>
  <r>
    <n v="285"/>
    <x v="0"/>
    <x v="2"/>
    <d v="2024-09-23T00:00:00"/>
    <s v="Monday"/>
    <x v="4"/>
    <n v="157"/>
    <n v="15"/>
    <n v="1439"/>
    <n v="706"/>
    <n v="391"/>
    <n v="174"/>
    <n v="1.8832522585128499"/>
    <s v="average"/>
    <n v="0"/>
  </r>
  <r>
    <n v="286"/>
    <x v="1"/>
    <x v="2"/>
    <d v="2024-03-15T00:00:00"/>
    <s v="Friday"/>
    <x v="11"/>
    <n v="59"/>
    <n v="11"/>
    <n v="568"/>
    <n v="176"/>
    <n v="447"/>
    <n v="283"/>
    <n v="2.5950704225352101"/>
    <s v="high"/>
    <n v="0"/>
  </r>
  <r>
    <n v="287"/>
    <x v="2"/>
    <x v="0"/>
    <d v="2024-05-08T00:00:00"/>
    <s v="Wednesday"/>
    <x v="17"/>
    <n v="74"/>
    <n v="4"/>
    <n v="2070"/>
    <n v="743"/>
    <n v="509"/>
    <n v="609"/>
    <n v="1.8990338164251199"/>
    <s v="average"/>
    <n v="0"/>
  </r>
  <r>
    <n v="288"/>
    <x v="1"/>
    <x v="2"/>
    <d v="2024-06-04T00:00:00"/>
    <s v="Tuesday"/>
    <x v="17"/>
    <n v="191"/>
    <n v="13"/>
    <n v="105"/>
    <n v="410"/>
    <n v="342"/>
    <n v="636"/>
    <n v="14.219047619047601"/>
    <s v="high"/>
    <n v="0"/>
  </r>
  <r>
    <n v="289"/>
    <x v="1"/>
    <x v="0"/>
    <d v="2024-03-10T00:00:00"/>
    <s v="Sunday"/>
    <x v="7"/>
    <n v="183"/>
    <n v="9"/>
    <n v="2511"/>
    <n v="333"/>
    <n v="207"/>
    <n v="491"/>
    <n v="1.41059338908801"/>
    <s v="low"/>
    <n v="0"/>
  </r>
  <r>
    <n v="290"/>
    <x v="1"/>
    <x v="2"/>
    <d v="2024-09-08T00:00:00"/>
    <s v="Sunday"/>
    <x v="5"/>
    <n v="78"/>
    <n v="18"/>
    <n v="4767"/>
    <n v="253"/>
    <n v="335"/>
    <n v="386"/>
    <n v="1.20432137612754"/>
    <s v="low"/>
    <n v="0"/>
  </r>
  <r>
    <n v="291"/>
    <x v="2"/>
    <x v="0"/>
    <d v="2024-04-12T00:00:00"/>
    <s v="Friday"/>
    <x v="17"/>
    <n v="127"/>
    <n v="14"/>
    <n v="4901"/>
    <n v="563"/>
    <n v="186"/>
    <n v="699"/>
    <n v="1.2954499081819999"/>
    <s v="low"/>
    <n v="0"/>
  </r>
  <r>
    <n v="292"/>
    <x v="2"/>
    <x v="2"/>
    <d v="2024-05-29T00:00:00"/>
    <s v="Wednesday"/>
    <x v="16"/>
    <n v="149"/>
    <n v="4"/>
    <n v="616"/>
    <n v="423"/>
    <n v="513"/>
    <n v="143"/>
    <n v="2.7516233766233702"/>
    <s v="high"/>
    <n v="0"/>
  </r>
  <r>
    <n v="293"/>
    <x v="1"/>
    <x v="1"/>
    <d v="2024-08-04T00:00:00"/>
    <s v="Sunday"/>
    <x v="7"/>
    <n v="293"/>
    <n v="16"/>
    <n v="3138"/>
    <n v="80"/>
    <n v="461"/>
    <n v="613"/>
    <n v="1.3677501593371499"/>
    <s v="low"/>
    <n v="0"/>
  </r>
  <r>
    <n v="294"/>
    <x v="2"/>
    <x v="1"/>
    <d v="2024-08-02T00:00:00"/>
    <s v="Friday"/>
    <x v="3"/>
    <n v="75"/>
    <n v="7"/>
    <n v="4503"/>
    <n v="42"/>
    <n v="370"/>
    <n v="550"/>
    <n v="1.2136353542083"/>
    <s v="low"/>
    <n v="0"/>
  </r>
  <r>
    <n v="295"/>
    <x v="2"/>
    <x v="1"/>
    <d v="2024-06-30T00:00:00"/>
    <s v="Sunday"/>
    <x v="7"/>
    <n v="189"/>
    <n v="13"/>
    <n v="1412"/>
    <n v="667"/>
    <n v="47"/>
    <n v="577"/>
    <n v="1.9143059490084899"/>
    <s v="average"/>
    <n v="0"/>
  </r>
  <r>
    <n v="296"/>
    <x v="2"/>
    <x v="1"/>
    <d v="2024-02-24T00:00:00"/>
    <s v="Saturday"/>
    <x v="12"/>
    <n v="133"/>
    <n v="14"/>
    <n v="136"/>
    <n v="105"/>
    <n v="266"/>
    <n v="228"/>
    <n v="5.4044117647058796"/>
    <s v="high"/>
    <n v="0"/>
  </r>
  <r>
    <n v="297"/>
    <x v="1"/>
    <x v="0"/>
    <d v="2024-07-10T00:00:00"/>
    <s v="Wednesday"/>
    <x v="11"/>
    <n v="73"/>
    <n v="9"/>
    <n v="3254"/>
    <n v="479"/>
    <n v="514"/>
    <n v="155"/>
    <n v="1.35279655808236"/>
    <s v="low"/>
    <n v="0"/>
  </r>
  <r>
    <n v="298"/>
    <x v="1"/>
    <x v="2"/>
    <d v="2024-07-31T00:00:00"/>
    <s v="Wednesday"/>
    <x v="17"/>
    <n v="125"/>
    <n v="16"/>
    <n v="753"/>
    <n v="123"/>
    <n v="147"/>
    <n v="357"/>
    <n v="1.8326693227091599"/>
    <s v="average"/>
    <n v="0"/>
  </r>
  <r>
    <n v="299"/>
    <x v="2"/>
    <x v="1"/>
    <d v="2024-09-04T00:00:00"/>
    <s v="Wednesday"/>
    <x v="17"/>
    <n v="183"/>
    <n v="2"/>
    <n v="2903"/>
    <n v="492"/>
    <n v="101"/>
    <n v="449"/>
    <n v="1.35893902859111"/>
    <s v="low"/>
    <n v="0"/>
  </r>
  <r>
    <n v="300"/>
    <x v="1"/>
    <x v="1"/>
    <d v="2024-06-02T00:00:00"/>
    <s v="Sunday"/>
    <x v="0"/>
    <n v="104"/>
    <n v="7"/>
    <n v="416"/>
    <n v="732"/>
    <n v="119"/>
    <n v="24"/>
    <n v="3.1033653846153801"/>
    <s v="high"/>
    <n v="0"/>
  </r>
  <r>
    <n v="301"/>
    <x v="2"/>
    <x v="2"/>
    <d v="2024-09-21T00:00:00"/>
    <s v="Saturday"/>
    <x v="17"/>
    <n v="138"/>
    <n v="12"/>
    <n v="1479"/>
    <n v="570"/>
    <n v="165"/>
    <n v="339"/>
    <n v="1.7261663286004001"/>
    <s v="average"/>
    <n v="0"/>
  </r>
  <r>
    <n v="302"/>
    <x v="0"/>
    <x v="1"/>
    <d v="2024-04-04T00:00:00"/>
    <s v="Thursday"/>
    <x v="10"/>
    <n v="250"/>
    <n v="18"/>
    <n v="1576"/>
    <n v="660"/>
    <n v="444"/>
    <n v="406"/>
    <n v="1.95812182741116"/>
    <s v="average"/>
    <n v="0"/>
  </r>
  <r>
    <n v="303"/>
    <x v="1"/>
    <x v="1"/>
    <d v="2024-08-07T00:00:00"/>
    <s v="Wednesday"/>
    <x v="3"/>
    <n v="72"/>
    <n v="17"/>
    <n v="3235"/>
    <n v="9"/>
    <n v="221"/>
    <n v="211"/>
    <n v="1.1363214837712501"/>
    <s v="low"/>
    <n v="0"/>
  </r>
  <r>
    <n v="304"/>
    <x v="0"/>
    <x v="2"/>
    <d v="2024-04-05T00:00:00"/>
    <s v="Friday"/>
    <x v="11"/>
    <n v="290"/>
    <n v="20"/>
    <n v="3046"/>
    <n v="338"/>
    <n v="203"/>
    <n v="469"/>
    <n v="1.3315824031516701"/>
    <s v="low"/>
    <n v="0"/>
  </r>
  <r>
    <n v="305"/>
    <x v="0"/>
    <x v="2"/>
    <d v="2024-06-09T00:00:00"/>
    <s v="Sunday"/>
    <x v="5"/>
    <n v="254"/>
    <n v="19"/>
    <n v="4940"/>
    <n v="402"/>
    <n v="403"/>
    <n v="602"/>
    <n v="1.28481781376518"/>
    <s v="low"/>
    <n v="0"/>
  </r>
  <r>
    <n v="306"/>
    <x v="0"/>
    <x v="2"/>
    <d v="2024-03-29T00:00:00"/>
    <s v="Friday"/>
    <x v="0"/>
    <n v="142"/>
    <n v="9"/>
    <n v="2486"/>
    <n v="634"/>
    <n v="88"/>
    <n v="689"/>
    <n v="1.56757843925985"/>
    <s v="low"/>
    <n v="0"/>
  </r>
  <r>
    <n v="307"/>
    <x v="1"/>
    <x v="2"/>
    <d v="2024-02-29T00:00:00"/>
    <s v="Thursday"/>
    <x v="9"/>
    <n v="216"/>
    <n v="13"/>
    <n v="1549"/>
    <n v="387"/>
    <n v="146"/>
    <n v="524"/>
    <n v="1.6823757262750101"/>
    <s v="average"/>
    <n v="0"/>
  </r>
  <r>
    <n v="308"/>
    <x v="0"/>
    <x v="1"/>
    <d v="2024-04-05T00:00:00"/>
    <s v="Friday"/>
    <x v="2"/>
    <n v="270"/>
    <n v="9"/>
    <n v="4036"/>
    <n v="655"/>
    <n v="552"/>
    <n v="661"/>
    <n v="1.46283448959365"/>
    <s v="low"/>
    <n v="0"/>
  </r>
  <r>
    <n v="309"/>
    <x v="0"/>
    <x v="2"/>
    <d v="2024-03-12T00:00:00"/>
    <s v="Tuesday"/>
    <x v="1"/>
    <n v="268"/>
    <n v="4"/>
    <n v="1582"/>
    <n v="327"/>
    <n v="463"/>
    <n v="635"/>
    <n v="1.9007585335018899"/>
    <s v="average"/>
    <n v="0"/>
  </r>
  <r>
    <n v="310"/>
    <x v="1"/>
    <x v="2"/>
    <d v="2024-04-09T00:00:00"/>
    <s v="Tuesday"/>
    <x v="11"/>
    <n v="232"/>
    <n v="14"/>
    <n v="3195"/>
    <n v="580"/>
    <n v="519"/>
    <n v="669"/>
    <n v="1.55336463223787"/>
    <s v="low"/>
    <n v="0"/>
  </r>
  <r>
    <n v="311"/>
    <x v="0"/>
    <x v="2"/>
    <d v="2024-09-07T00:00:00"/>
    <s v="Saturday"/>
    <x v="14"/>
    <n v="160"/>
    <n v="7"/>
    <n v="1420"/>
    <n v="89"/>
    <n v="580"/>
    <n v="32"/>
    <n v="1.49366197183098"/>
    <s v="low"/>
    <n v="0"/>
  </r>
  <r>
    <n v="312"/>
    <x v="2"/>
    <x v="2"/>
    <d v="2024-10-02T00:00:00"/>
    <s v="Wednesday"/>
    <x v="13"/>
    <n v="281"/>
    <n v="3"/>
    <n v="2414"/>
    <n v="177"/>
    <n v="470"/>
    <n v="580"/>
    <n v="1.5082850041425"/>
    <s v="low"/>
    <n v="0"/>
  </r>
  <r>
    <n v="313"/>
    <x v="2"/>
    <x v="0"/>
    <d v="2024-10-20T00:00:00"/>
    <s v="Sunday"/>
    <x v="17"/>
    <n v="299"/>
    <n v="6"/>
    <n v="985"/>
    <n v="279"/>
    <n v="558"/>
    <n v="376"/>
    <n v="2.23147208121827"/>
    <s v="average"/>
    <n v="1"/>
  </r>
  <r>
    <n v="314"/>
    <x v="0"/>
    <x v="2"/>
    <d v="2024-08-05T00:00:00"/>
    <s v="Monday"/>
    <x v="15"/>
    <n v="198"/>
    <n v="2"/>
    <n v="888"/>
    <n v="758"/>
    <n v="255"/>
    <n v="305"/>
    <n v="2.4842342342342301"/>
    <s v="high"/>
    <n v="0"/>
  </r>
  <r>
    <n v="315"/>
    <x v="2"/>
    <x v="1"/>
    <d v="2024-08-12T00:00:00"/>
    <s v="Monday"/>
    <x v="5"/>
    <n v="239"/>
    <n v="5"/>
    <n v="1011"/>
    <n v="799"/>
    <n v="244"/>
    <n v="215"/>
    <n v="2.2443125618199802"/>
    <s v="average"/>
    <n v="0"/>
  </r>
  <r>
    <n v="316"/>
    <x v="1"/>
    <x v="1"/>
    <d v="2024-03-12T00:00:00"/>
    <s v="Tuesday"/>
    <x v="15"/>
    <n v="295"/>
    <n v="5"/>
    <n v="1742"/>
    <n v="216"/>
    <n v="62"/>
    <n v="584"/>
    <n v="1.4948335246842701"/>
    <s v="low"/>
    <n v="0"/>
  </r>
  <r>
    <n v="317"/>
    <x v="2"/>
    <x v="1"/>
    <d v="2024-06-14T00:00:00"/>
    <s v="Friday"/>
    <x v="0"/>
    <n v="89"/>
    <n v="13"/>
    <n v="2447"/>
    <n v="301"/>
    <n v="588"/>
    <n v="274"/>
    <n v="1.47527584797711"/>
    <s v="low"/>
    <n v="0"/>
  </r>
  <r>
    <n v="318"/>
    <x v="0"/>
    <x v="0"/>
    <d v="2024-01-31T00:00:00"/>
    <s v="Wednesday"/>
    <x v="6"/>
    <n v="146"/>
    <n v="12"/>
    <n v="2321"/>
    <n v="676"/>
    <n v="131"/>
    <n v="136"/>
    <n v="1.4062903920723799"/>
    <s v="low"/>
    <n v="0"/>
  </r>
  <r>
    <n v="319"/>
    <x v="1"/>
    <x v="2"/>
    <d v="2024-09-07T00:00:00"/>
    <s v="Saturday"/>
    <x v="17"/>
    <n v="58"/>
    <n v="20"/>
    <n v="1214"/>
    <n v="596"/>
    <n v="277"/>
    <n v="643"/>
    <n v="2.2487644151564998"/>
    <s v="average"/>
    <n v="0"/>
  </r>
  <r>
    <n v="320"/>
    <x v="1"/>
    <x v="2"/>
    <d v="2024-02-17T00:00:00"/>
    <s v="Saturday"/>
    <x v="6"/>
    <n v="21"/>
    <n v="2"/>
    <n v="3350"/>
    <n v="532"/>
    <n v="286"/>
    <n v="378"/>
    <n v="1.3570149253731301"/>
    <s v="low"/>
    <n v="0"/>
  </r>
  <r>
    <n v="321"/>
    <x v="0"/>
    <x v="2"/>
    <d v="2024-08-22T00:00:00"/>
    <s v="Thursday"/>
    <x v="10"/>
    <n v="273"/>
    <n v="8"/>
    <n v="2984"/>
    <n v="69"/>
    <n v="549"/>
    <n v="408"/>
    <n v="1.34383378016085"/>
    <s v="low"/>
    <n v="0"/>
  </r>
  <r>
    <n v="322"/>
    <x v="0"/>
    <x v="1"/>
    <d v="2024-06-14T00:00:00"/>
    <s v="Friday"/>
    <x v="11"/>
    <n v="195"/>
    <n v="1"/>
    <n v="2373"/>
    <n v="350"/>
    <n v="562"/>
    <n v="592"/>
    <n v="1.6337968815844901"/>
    <s v="average"/>
    <n v="0"/>
  </r>
  <r>
    <n v="323"/>
    <x v="0"/>
    <x v="0"/>
    <d v="2024-01-24T00:00:00"/>
    <s v="Wednesday"/>
    <x v="17"/>
    <n v="253"/>
    <n v="0"/>
    <n v="865"/>
    <n v="646"/>
    <n v="472"/>
    <n v="17"/>
    <n v="2.3121387283237"/>
    <s v="average"/>
    <n v="0"/>
  </r>
  <r>
    <n v="324"/>
    <x v="1"/>
    <x v="0"/>
    <d v="2024-08-07T00:00:00"/>
    <s v="Wednesday"/>
    <x v="15"/>
    <n v="67"/>
    <n v="20"/>
    <n v="1707"/>
    <n v="710"/>
    <n v="137"/>
    <n v="666"/>
    <n v="1.8863503222026901"/>
    <s v="average"/>
    <n v="0"/>
  </r>
  <r>
    <n v="325"/>
    <x v="2"/>
    <x v="0"/>
    <d v="2024-07-03T00:00:00"/>
    <s v="Wednesday"/>
    <x v="14"/>
    <n v="222"/>
    <n v="20"/>
    <n v="2101"/>
    <n v="89"/>
    <n v="382"/>
    <n v="681"/>
    <n v="1.5483103284150399"/>
    <s v="low"/>
    <n v="0"/>
  </r>
  <r>
    <n v="326"/>
    <x v="0"/>
    <x v="0"/>
    <d v="2024-06-05T00:00:00"/>
    <s v="Wednesday"/>
    <x v="11"/>
    <n v="59"/>
    <n v="4"/>
    <n v="1968"/>
    <n v="444"/>
    <n v="95"/>
    <n v="98"/>
    <n v="1.3236788617886099"/>
    <s v="low"/>
    <n v="0"/>
  </r>
  <r>
    <n v="327"/>
    <x v="0"/>
    <x v="1"/>
    <d v="2024-04-25T00:00:00"/>
    <s v="Thursday"/>
    <x v="6"/>
    <n v="81"/>
    <n v="13"/>
    <n v="4305"/>
    <n v="701"/>
    <n v="457"/>
    <n v="10"/>
    <n v="1.2713124274099801"/>
    <s v="low"/>
    <n v="0"/>
  </r>
  <r>
    <n v="328"/>
    <x v="0"/>
    <x v="1"/>
    <d v="2024-03-08T00:00:00"/>
    <s v="Friday"/>
    <x v="0"/>
    <n v="72"/>
    <n v="10"/>
    <n v="3963"/>
    <n v="77"/>
    <n v="236"/>
    <n v="393"/>
    <n v="1.1781478677769299"/>
    <s v="low"/>
    <n v="0"/>
  </r>
  <r>
    <n v="329"/>
    <x v="2"/>
    <x v="1"/>
    <d v="2024-07-07T00:00:00"/>
    <s v="Sunday"/>
    <x v="9"/>
    <n v="55"/>
    <n v="16"/>
    <n v="2501"/>
    <n v="145"/>
    <n v="393"/>
    <n v="137"/>
    <n v="1.2698920431827201"/>
    <s v="low"/>
    <n v="0"/>
  </r>
  <r>
    <n v="330"/>
    <x v="1"/>
    <x v="1"/>
    <d v="2024-10-15T00:00:00"/>
    <s v="Tuesday"/>
    <x v="10"/>
    <n v="97"/>
    <n v="13"/>
    <n v="119"/>
    <n v="629"/>
    <n v="170"/>
    <n v="451"/>
    <n v="11.5042016806722"/>
    <s v="high"/>
    <n v="0"/>
  </r>
  <r>
    <n v="331"/>
    <x v="0"/>
    <x v="1"/>
    <d v="2024-08-14T00:00:00"/>
    <s v="Wednesday"/>
    <x v="7"/>
    <n v="199"/>
    <n v="13"/>
    <n v="1829"/>
    <n v="93"/>
    <n v="104"/>
    <n v="144"/>
    <n v="1.1864406779661001"/>
    <s v="low"/>
    <n v="0"/>
  </r>
  <r>
    <n v="332"/>
    <x v="0"/>
    <x v="0"/>
    <d v="2024-06-10T00:00:00"/>
    <s v="Monday"/>
    <x v="13"/>
    <n v="165"/>
    <n v="0"/>
    <n v="1195"/>
    <n v="258"/>
    <n v="285"/>
    <n v="661"/>
    <n v="2.0075313807531301"/>
    <s v="average"/>
    <n v="0"/>
  </r>
  <r>
    <n v="333"/>
    <x v="2"/>
    <x v="2"/>
    <d v="2024-06-03T00:00:00"/>
    <s v="Monday"/>
    <x v="4"/>
    <n v="47"/>
    <n v="7"/>
    <n v="1733"/>
    <n v="535"/>
    <n v="523"/>
    <n v="194"/>
    <n v="1.7224466243508301"/>
    <s v="average"/>
    <n v="0"/>
  </r>
  <r>
    <n v="334"/>
    <x v="2"/>
    <x v="1"/>
    <d v="2024-09-10T00:00:00"/>
    <s v="Tuesday"/>
    <x v="3"/>
    <n v="290"/>
    <n v="0"/>
    <n v="3211"/>
    <n v="120"/>
    <n v="248"/>
    <n v="512"/>
    <n v="1.27405792587978"/>
    <s v="low"/>
    <n v="0"/>
  </r>
  <r>
    <n v="335"/>
    <x v="1"/>
    <x v="2"/>
    <d v="2024-07-03T00:00:00"/>
    <s v="Wednesday"/>
    <x v="13"/>
    <n v="108"/>
    <n v="15"/>
    <n v="2642"/>
    <n v="140"/>
    <n v="398"/>
    <n v="583"/>
    <n v="1.4242997728993101"/>
    <s v="low"/>
    <n v="0"/>
  </r>
  <r>
    <n v="336"/>
    <x v="1"/>
    <x v="0"/>
    <d v="2024-02-07T00:00:00"/>
    <s v="Wednesday"/>
    <x v="14"/>
    <n v="50"/>
    <n v="12"/>
    <n v="186"/>
    <n v="606"/>
    <n v="71"/>
    <n v="15"/>
    <n v="4.7204301075268802"/>
    <s v="high"/>
    <n v="0"/>
  </r>
  <r>
    <n v="337"/>
    <x v="1"/>
    <x v="1"/>
    <d v="2024-09-16T00:00:00"/>
    <s v="Monday"/>
    <x v="7"/>
    <n v="62"/>
    <n v="20"/>
    <n v="2396"/>
    <n v="648"/>
    <n v="515"/>
    <n v="426"/>
    <n v="1.6631886477462401"/>
    <s v="average"/>
    <n v="0"/>
  </r>
  <r>
    <n v="338"/>
    <x v="0"/>
    <x v="2"/>
    <d v="2024-10-01T00:00:00"/>
    <s v="Tuesday"/>
    <x v="3"/>
    <n v="281"/>
    <n v="6"/>
    <n v="4454"/>
    <n v="635"/>
    <n v="158"/>
    <n v="285"/>
    <n v="1.24202963628199"/>
    <s v="low"/>
    <n v="0"/>
  </r>
  <r>
    <n v="339"/>
    <x v="2"/>
    <x v="1"/>
    <d v="2024-03-20T00:00:00"/>
    <s v="Wednesday"/>
    <x v="3"/>
    <n v="178"/>
    <n v="13"/>
    <n v="4444"/>
    <n v="339"/>
    <n v="402"/>
    <n v="601"/>
    <n v="1.3019801980198"/>
    <s v="low"/>
    <n v="0"/>
  </r>
  <r>
    <n v="340"/>
    <x v="0"/>
    <x v="2"/>
    <d v="2024-05-02T00:00:00"/>
    <s v="Thursday"/>
    <x v="14"/>
    <n v="178"/>
    <n v="5"/>
    <n v="524"/>
    <n v="255"/>
    <n v="90"/>
    <n v="445"/>
    <n v="2.5076335877862501"/>
    <s v="high"/>
    <n v="0"/>
  </r>
  <r>
    <n v="341"/>
    <x v="0"/>
    <x v="2"/>
    <d v="2024-03-02T00:00:00"/>
    <s v="Saturday"/>
    <x v="5"/>
    <n v="287"/>
    <n v="16"/>
    <n v="153"/>
    <n v="729"/>
    <n v="142"/>
    <n v="12"/>
    <n v="6.7712418300653496"/>
    <s v="high"/>
    <n v="0"/>
  </r>
  <r>
    <n v="342"/>
    <x v="2"/>
    <x v="0"/>
    <d v="2024-05-12T00:00:00"/>
    <s v="Sunday"/>
    <x v="1"/>
    <n v="191"/>
    <n v="13"/>
    <n v="1417"/>
    <n v="385"/>
    <n v="131"/>
    <n v="276"/>
    <n v="1.5589273112208799"/>
    <s v="low"/>
    <n v="0"/>
  </r>
  <r>
    <n v="343"/>
    <x v="2"/>
    <x v="0"/>
    <d v="2024-05-19T00:00:00"/>
    <s v="Sunday"/>
    <x v="11"/>
    <n v="253"/>
    <n v="16"/>
    <n v="4341"/>
    <n v="70"/>
    <n v="271"/>
    <n v="591"/>
    <n v="1.21469707440681"/>
    <s v="low"/>
    <n v="0"/>
  </r>
  <r>
    <n v="344"/>
    <x v="1"/>
    <x v="0"/>
    <d v="2024-07-03T00:00:00"/>
    <s v="Wednesday"/>
    <x v="15"/>
    <n v="72"/>
    <n v="18"/>
    <n v="504"/>
    <n v="516"/>
    <n v="582"/>
    <n v="171"/>
    <n v="3.5178571428571401"/>
    <s v="high"/>
    <n v="1"/>
  </r>
  <r>
    <n v="345"/>
    <x v="0"/>
    <x v="0"/>
    <d v="2024-02-29T00:00:00"/>
    <s v="Thursday"/>
    <x v="16"/>
    <n v="43"/>
    <n v="15"/>
    <n v="1921"/>
    <n v="763"/>
    <n v="523"/>
    <n v="3"/>
    <n v="1.6710046850598601"/>
    <s v="average"/>
    <n v="0"/>
  </r>
  <r>
    <n v="346"/>
    <x v="2"/>
    <x v="1"/>
    <d v="2024-07-05T00:00:00"/>
    <s v="Friday"/>
    <x v="8"/>
    <n v="134"/>
    <n v="10"/>
    <n v="3187"/>
    <n v="158"/>
    <n v="185"/>
    <n v="37"/>
    <n v="1.11923438970818"/>
    <s v="low"/>
    <n v="0"/>
  </r>
  <r>
    <n v="347"/>
    <x v="0"/>
    <x v="1"/>
    <d v="2024-05-07T00:00:00"/>
    <s v="Tuesday"/>
    <x v="5"/>
    <n v="81"/>
    <n v="16"/>
    <n v="3459"/>
    <n v="742"/>
    <n v="329"/>
    <n v="278"/>
    <n v="1.3899971089910299"/>
    <s v="low"/>
    <n v="0"/>
  </r>
  <r>
    <n v="348"/>
    <x v="1"/>
    <x v="0"/>
    <d v="2024-01-27T00:00:00"/>
    <s v="Saturday"/>
    <x v="17"/>
    <n v="164"/>
    <n v="9"/>
    <n v="1519"/>
    <n v="233"/>
    <n v="530"/>
    <n v="48"/>
    <n v="1.53390388413429"/>
    <s v="low"/>
    <n v="0"/>
  </r>
  <r>
    <n v="349"/>
    <x v="1"/>
    <x v="0"/>
    <d v="2024-06-16T00:00:00"/>
    <s v="Sunday"/>
    <x v="4"/>
    <n v="175"/>
    <n v="19"/>
    <n v="757"/>
    <n v="571"/>
    <n v="469"/>
    <n v="9"/>
    <n v="2.38573315719947"/>
    <s v="average"/>
    <n v="0"/>
  </r>
  <r>
    <n v="350"/>
    <x v="2"/>
    <x v="1"/>
    <d v="2024-05-04T00:00:00"/>
    <s v="Saturday"/>
    <x v="16"/>
    <n v="97"/>
    <n v="0"/>
    <n v="3850"/>
    <n v="382"/>
    <n v="507"/>
    <n v="201"/>
    <n v="1.28311688311688"/>
    <s v="low"/>
    <n v="0"/>
  </r>
  <r>
    <n v="351"/>
    <x v="2"/>
    <x v="1"/>
    <d v="2024-07-28T00:00:00"/>
    <s v="Sunday"/>
    <x v="1"/>
    <n v="191"/>
    <n v="0"/>
    <n v="245"/>
    <n v="243"/>
    <n v="556"/>
    <n v="355"/>
    <n v="5.71020408163265"/>
    <s v="high"/>
    <n v="1"/>
  </r>
  <r>
    <n v="352"/>
    <x v="0"/>
    <x v="2"/>
    <d v="2024-07-11T00:00:00"/>
    <s v="Thursday"/>
    <x v="11"/>
    <n v="50"/>
    <n v="4"/>
    <n v="2569"/>
    <n v="111"/>
    <n v="212"/>
    <n v="543"/>
    <n v="1.33709614636045"/>
    <s v="low"/>
    <n v="0"/>
  </r>
  <r>
    <n v="353"/>
    <x v="1"/>
    <x v="1"/>
    <d v="2024-05-23T00:00:00"/>
    <s v="Thursday"/>
    <x v="5"/>
    <n v="254"/>
    <n v="2"/>
    <n v="812"/>
    <n v="49"/>
    <n v="239"/>
    <n v="533"/>
    <n v="2.0110837438423599"/>
    <s v="average"/>
    <n v="0"/>
  </r>
  <r>
    <n v="354"/>
    <x v="1"/>
    <x v="0"/>
    <d v="2024-10-24T00:00:00"/>
    <s v="Thursday"/>
    <x v="14"/>
    <n v="242"/>
    <n v="4"/>
    <n v="832"/>
    <n v="522"/>
    <n v="138"/>
    <n v="653"/>
    <n v="2.578125"/>
    <s v="high"/>
    <n v="0"/>
  </r>
  <r>
    <n v="355"/>
    <x v="2"/>
    <x v="1"/>
    <d v="2024-05-01T00:00:00"/>
    <s v="Wednesday"/>
    <x v="6"/>
    <n v="182"/>
    <n v="14"/>
    <n v="2439"/>
    <n v="272"/>
    <n v="324"/>
    <n v="403"/>
    <n v="1.4095940959409501"/>
    <s v="low"/>
    <n v="0"/>
  </r>
  <r>
    <n v="356"/>
    <x v="2"/>
    <x v="0"/>
    <d v="2024-05-19T00:00:00"/>
    <s v="Sunday"/>
    <x v="9"/>
    <n v="74"/>
    <n v="5"/>
    <n v="1963"/>
    <n v="81"/>
    <n v="209"/>
    <n v="140"/>
    <n v="1.2190524707081001"/>
    <s v="low"/>
    <n v="0"/>
  </r>
  <r>
    <n v="357"/>
    <x v="2"/>
    <x v="2"/>
    <d v="2024-08-18T00:00:00"/>
    <s v="Sunday"/>
    <x v="10"/>
    <n v="251"/>
    <n v="9"/>
    <n v="3867"/>
    <n v="326"/>
    <n v="418"/>
    <n v="124"/>
    <n v="1.22446340832686"/>
    <s v="low"/>
    <n v="0"/>
  </r>
  <r>
    <n v="358"/>
    <x v="2"/>
    <x v="2"/>
    <d v="2024-08-25T00:00:00"/>
    <s v="Sunday"/>
    <x v="14"/>
    <n v="130"/>
    <n v="10"/>
    <n v="2220"/>
    <n v="127"/>
    <n v="94"/>
    <n v="162"/>
    <n v="1.17252252252252"/>
    <s v="low"/>
    <n v="0"/>
  </r>
  <r>
    <n v="359"/>
    <x v="1"/>
    <x v="1"/>
    <d v="2024-03-16T00:00:00"/>
    <s v="Saturday"/>
    <x v="14"/>
    <n v="173"/>
    <n v="8"/>
    <n v="797"/>
    <n v="733"/>
    <n v="256"/>
    <n v="365"/>
    <n v="2.6988707653701298"/>
    <s v="high"/>
    <n v="0"/>
  </r>
  <r>
    <n v="360"/>
    <x v="2"/>
    <x v="1"/>
    <d v="2024-03-30T00:00:00"/>
    <s v="Saturday"/>
    <x v="16"/>
    <n v="68"/>
    <n v="14"/>
    <n v="304"/>
    <n v="419"/>
    <n v="465"/>
    <n v="570"/>
    <n v="5.7828947368421"/>
    <s v="high"/>
    <n v="0"/>
  </r>
  <r>
    <n v="361"/>
    <x v="0"/>
    <x v="0"/>
    <d v="2024-02-22T00:00:00"/>
    <s v="Thursday"/>
    <x v="10"/>
    <n v="225"/>
    <n v="11"/>
    <n v="1195"/>
    <n v="129"/>
    <n v="14"/>
    <n v="64"/>
    <n v="1.1732217573221699"/>
    <s v="low"/>
    <n v="0"/>
  </r>
  <r>
    <n v="362"/>
    <x v="0"/>
    <x v="0"/>
    <d v="2024-02-13T00:00:00"/>
    <s v="Tuesday"/>
    <x v="10"/>
    <n v="247"/>
    <n v="4"/>
    <n v="4820"/>
    <n v="605"/>
    <n v="267"/>
    <n v="77"/>
    <n v="1.1968879668049699"/>
    <s v="low"/>
    <n v="0"/>
  </r>
  <r>
    <n v="363"/>
    <x v="0"/>
    <x v="0"/>
    <d v="2024-02-17T00:00:00"/>
    <s v="Saturday"/>
    <x v="8"/>
    <n v="222"/>
    <n v="15"/>
    <n v="2766"/>
    <n v="130"/>
    <n v="45"/>
    <n v="473"/>
    <n v="1.2342733188720101"/>
    <s v="low"/>
    <n v="0"/>
  </r>
  <r>
    <n v="364"/>
    <x v="1"/>
    <x v="0"/>
    <d v="2024-01-16T00:00:00"/>
    <s v="Tuesday"/>
    <x v="2"/>
    <n v="160"/>
    <n v="8"/>
    <n v="3185"/>
    <n v="704"/>
    <n v="438"/>
    <n v="177"/>
    <n v="1.4141287284144399"/>
    <s v="low"/>
    <n v="0"/>
  </r>
  <r>
    <n v="365"/>
    <x v="1"/>
    <x v="2"/>
    <d v="2024-08-16T00:00:00"/>
    <s v="Friday"/>
    <x v="8"/>
    <n v="265"/>
    <n v="1"/>
    <n v="1267"/>
    <n v="40"/>
    <n v="253"/>
    <n v="663"/>
    <n v="1.7545382794001501"/>
    <s v="average"/>
    <n v="0"/>
  </r>
  <r>
    <n v="366"/>
    <x v="0"/>
    <x v="1"/>
    <d v="2024-02-14T00:00:00"/>
    <s v="Wednesday"/>
    <x v="12"/>
    <n v="147"/>
    <n v="20"/>
    <n v="2341"/>
    <n v="397"/>
    <n v="142"/>
    <n v="430"/>
    <n v="1.4139256727894001"/>
    <s v="low"/>
    <n v="0"/>
  </r>
  <r>
    <n v="367"/>
    <x v="2"/>
    <x v="2"/>
    <d v="2024-10-05T00:00:00"/>
    <s v="Saturday"/>
    <x v="5"/>
    <n v="277"/>
    <n v="10"/>
    <n v="209"/>
    <n v="396"/>
    <n v="369"/>
    <n v="492"/>
    <n v="7.0143540669856401"/>
    <s v="high"/>
    <n v="0"/>
  </r>
  <r>
    <n v="368"/>
    <x v="2"/>
    <x v="0"/>
    <d v="2024-07-17T00:00:00"/>
    <s v="Wednesday"/>
    <x v="1"/>
    <n v="163"/>
    <n v="1"/>
    <n v="2265"/>
    <n v="189"/>
    <n v="28"/>
    <n v="327"/>
    <n v="1.2401766004415"/>
    <s v="low"/>
    <n v="0"/>
  </r>
  <r>
    <n v="369"/>
    <x v="0"/>
    <x v="0"/>
    <d v="2024-08-29T00:00:00"/>
    <s v="Thursday"/>
    <x v="16"/>
    <n v="143"/>
    <n v="8"/>
    <n v="4387"/>
    <n v="371"/>
    <n v="600"/>
    <n v="239"/>
    <n v="1.27581490768178"/>
    <s v="low"/>
    <n v="0"/>
  </r>
  <r>
    <n v="370"/>
    <x v="1"/>
    <x v="2"/>
    <d v="2024-09-30T00:00:00"/>
    <s v="Monday"/>
    <x v="2"/>
    <n v="110"/>
    <n v="7"/>
    <n v="508"/>
    <n v="787"/>
    <n v="226"/>
    <n v="590"/>
    <n v="4.1555118110236204"/>
    <s v="high"/>
    <n v="0"/>
  </r>
  <r>
    <n v="371"/>
    <x v="2"/>
    <x v="1"/>
    <d v="2024-06-11T00:00:00"/>
    <s v="Tuesday"/>
    <x v="9"/>
    <n v="116"/>
    <n v="15"/>
    <n v="2989"/>
    <n v="610"/>
    <n v="30"/>
    <n v="361"/>
    <n v="1.3348946135831301"/>
    <s v="low"/>
    <n v="0"/>
  </r>
  <r>
    <n v="372"/>
    <x v="0"/>
    <x v="0"/>
    <d v="2024-10-04T00:00:00"/>
    <s v="Friday"/>
    <x v="16"/>
    <n v="132"/>
    <n v="0"/>
    <n v="2581"/>
    <n v="184"/>
    <n v="504"/>
    <n v="39"/>
    <n v="1.2816737698566401"/>
    <s v="low"/>
    <n v="0"/>
  </r>
  <r>
    <n v="373"/>
    <x v="0"/>
    <x v="0"/>
    <d v="2024-09-26T00:00:00"/>
    <s v="Thursday"/>
    <x v="6"/>
    <n v="110"/>
    <n v="10"/>
    <n v="3965"/>
    <n v="5"/>
    <n v="341"/>
    <n v="629"/>
    <n v="1.2459016393442599"/>
    <s v="low"/>
    <n v="0"/>
  </r>
  <r>
    <n v="374"/>
    <x v="2"/>
    <x v="2"/>
    <d v="2024-01-31T00:00:00"/>
    <s v="Wednesday"/>
    <x v="3"/>
    <n v="211"/>
    <n v="12"/>
    <n v="229"/>
    <n v="156"/>
    <n v="147"/>
    <n v="114"/>
    <n v="2.8209606986899498"/>
    <s v="high"/>
    <n v="0"/>
  </r>
  <r>
    <n v="375"/>
    <x v="0"/>
    <x v="0"/>
    <d v="2024-10-27T00:00:00"/>
    <s v="Sunday"/>
    <x v="8"/>
    <n v="269"/>
    <n v="20"/>
    <n v="877"/>
    <n v="349"/>
    <n v="311"/>
    <n v="331"/>
    <n v="2.1299885974914399"/>
    <s v="average"/>
    <n v="0"/>
  </r>
  <r>
    <n v="376"/>
    <x v="1"/>
    <x v="0"/>
    <d v="2024-06-11T00:00:00"/>
    <s v="Tuesday"/>
    <x v="2"/>
    <n v="213"/>
    <n v="9"/>
    <n v="1477"/>
    <n v="729"/>
    <n v="577"/>
    <n v="629"/>
    <n v="2.3100880162491499"/>
    <s v="average"/>
    <n v="1"/>
  </r>
  <r>
    <n v="377"/>
    <x v="1"/>
    <x v="1"/>
    <d v="2024-05-30T00:00:00"/>
    <s v="Thursday"/>
    <x v="14"/>
    <n v="113"/>
    <n v="19"/>
    <n v="1093"/>
    <n v="186"/>
    <n v="3"/>
    <n v="587"/>
    <n v="1.7099725526075"/>
    <s v="average"/>
    <n v="0"/>
  </r>
  <r>
    <n v="378"/>
    <x v="1"/>
    <x v="0"/>
    <d v="2024-06-11T00:00:00"/>
    <s v="Tuesday"/>
    <x v="6"/>
    <n v="59"/>
    <n v="7"/>
    <n v="1859"/>
    <n v="659"/>
    <n v="581"/>
    <n v="107"/>
    <n v="1.72458310919849"/>
    <s v="average"/>
    <n v="0"/>
  </r>
  <r>
    <n v="379"/>
    <x v="2"/>
    <x v="1"/>
    <d v="2024-06-26T00:00:00"/>
    <s v="Wednesday"/>
    <x v="6"/>
    <n v="248"/>
    <n v="0"/>
    <n v="2667"/>
    <n v="176"/>
    <n v="92"/>
    <n v="687"/>
    <n v="1.35808023997"/>
    <s v="low"/>
    <n v="0"/>
  </r>
  <r>
    <n v="380"/>
    <x v="1"/>
    <x v="0"/>
    <d v="2024-05-15T00:00:00"/>
    <s v="Wednesday"/>
    <x v="1"/>
    <n v="44"/>
    <n v="12"/>
    <n v="1767"/>
    <n v="260"/>
    <n v="71"/>
    <n v="359"/>
    <n v="1.39049235993208"/>
    <s v="low"/>
    <n v="0"/>
  </r>
  <r>
    <n v="381"/>
    <x v="1"/>
    <x v="2"/>
    <d v="2024-08-12T00:00:00"/>
    <s v="Monday"/>
    <x v="13"/>
    <n v="212"/>
    <n v="3"/>
    <n v="3487"/>
    <n v="175"/>
    <n v="425"/>
    <n v="505"/>
    <n v="1.31689131058216"/>
    <s v="low"/>
    <n v="0"/>
  </r>
  <r>
    <n v="382"/>
    <x v="1"/>
    <x v="0"/>
    <d v="2024-09-02T00:00:00"/>
    <s v="Monday"/>
    <x v="14"/>
    <n v="170"/>
    <n v="0"/>
    <n v="4785"/>
    <n v="671"/>
    <n v="232"/>
    <n v="167"/>
    <n v="1.2236154649947699"/>
    <s v="low"/>
    <n v="0"/>
  </r>
  <r>
    <n v="383"/>
    <x v="0"/>
    <x v="2"/>
    <d v="2024-06-12T00:00:00"/>
    <s v="Wednesday"/>
    <x v="2"/>
    <n v="58"/>
    <n v="17"/>
    <n v="2189"/>
    <n v="112"/>
    <n v="77"/>
    <n v="351"/>
    <n v="1.2466879853814501"/>
    <s v="low"/>
    <n v="0"/>
  </r>
  <r>
    <n v="384"/>
    <x v="1"/>
    <x v="1"/>
    <d v="2024-02-17T00:00:00"/>
    <s v="Saturday"/>
    <x v="2"/>
    <n v="242"/>
    <n v="5"/>
    <n v="2818"/>
    <n v="613"/>
    <n v="496"/>
    <n v="32"/>
    <n v="1.4048970901348401"/>
    <s v="low"/>
    <n v="0"/>
  </r>
  <r>
    <n v="385"/>
    <x v="1"/>
    <x v="1"/>
    <d v="2024-01-28T00:00:00"/>
    <s v="Sunday"/>
    <x v="13"/>
    <n v="296"/>
    <n v="8"/>
    <n v="879"/>
    <n v="344"/>
    <n v="212"/>
    <n v="195"/>
    <n v="1.8543799772468701"/>
    <s v="average"/>
    <n v="0"/>
  </r>
  <r>
    <n v="386"/>
    <x v="1"/>
    <x v="1"/>
    <d v="2024-05-24T00:00:00"/>
    <s v="Friday"/>
    <x v="13"/>
    <n v="271"/>
    <n v="4"/>
    <n v="2486"/>
    <n v="248"/>
    <n v="100"/>
    <n v="51"/>
    <n v="1.16049879324215"/>
    <s v="low"/>
    <n v="0"/>
  </r>
  <r>
    <n v="387"/>
    <x v="1"/>
    <x v="1"/>
    <d v="2024-01-28T00:00:00"/>
    <s v="Sunday"/>
    <x v="11"/>
    <n v="122"/>
    <n v="3"/>
    <n v="3005"/>
    <n v="8"/>
    <n v="439"/>
    <n v="90"/>
    <n v="1.1787021630615599"/>
    <s v="low"/>
    <n v="0"/>
  </r>
  <r>
    <n v="388"/>
    <x v="1"/>
    <x v="0"/>
    <d v="2024-01-14T00:00:00"/>
    <s v="Sunday"/>
    <x v="4"/>
    <n v="223"/>
    <n v="15"/>
    <n v="1745"/>
    <n v="179"/>
    <n v="300"/>
    <n v="84"/>
    <n v="1.3226361031518601"/>
    <s v="low"/>
    <n v="0"/>
  </r>
  <r>
    <n v="389"/>
    <x v="0"/>
    <x v="2"/>
    <d v="2024-09-07T00:00:00"/>
    <s v="Saturday"/>
    <x v="7"/>
    <n v="209"/>
    <n v="5"/>
    <n v="2220"/>
    <n v="98"/>
    <n v="559"/>
    <n v="397"/>
    <n v="1.4747747747747699"/>
    <s v="low"/>
    <n v="0"/>
  </r>
  <r>
    <n v="390"/>
    <x v="1"/>
    <x v="0"/>
    <d v="2024-08-16T00:00:00"/>
    <s v="Friday"/>
    <x v="15"/>
    <n v="51"/>
    <n v="4"/>
    <n v="415"/>
    <n v="274"/>
    <n v="452"/>
    <n v="477"/>
    <n v="3.8987951807228902"/>
    <s v="high"/>
    <n v="0"/>
  </r>
  <r>
    <n v="391"/>
    <x v="1"/>
    <x v="1"/>
    <d v="2024-02-19T00:00:00"/>
    <s v="Monday"/>
    <x v="16"/>
    <n v="51"/>
    <n v="12"/>
    <n v="752"/>
    <n v="689"/>
    <n v="354"/>
    <n v="555"/>
    <n v="3.125"/>
    <s v="high"/>
    <n v="0"/>
  </r>
  <r>
    <n v="392"/>
    <x v="0"/>
    <x v="2"/>
    <d v="2024-09-24T00:00:00"/>
    <s v="Tuesday"/>
    <x v="4"/>
    <n v="60"/>
    <n v="12"/>
    <n v="3479"/>
    <n v="553"/>
    <n v="488"/>
    <n v="587"/>
    <n v="1.46795056050589"/>
    <s v="low"/>
    <n v="0"/>
  </r>
  <r>
    <n v="393"/>
    <x v="2"/>
    <x v="1"/>
    <d v="2024-01-18T00:00:00"/>
    <s v="Thursday"/>
    <x v="9"/>
    <n v="81"/>
    <n v="14"/>
    <n v="4163"/>
    <n v="589"/>
    <n v="531"/>
    <n v="586"/>
    <n v="1.4098006245496"/>
    <s v="low"/>
    <n v="0"/>
  </r>
  <r>
    <n v="394"/>
    <x v="0"/>
    <x v="2"/>
    <d v="2024-03-29T00:00:00"/>
    <s v="Friday"/>
    <x v="3"/>
    <n v="242"/>
    <n v="6"/>
    <n v="1419"/>
    <n v="221"/>
    <n v="199"/>
    <n v="130"/>
    <n v="1.3875968992248"/>
    <s v="low"/>
    <n v="0"/>
  </r>
  <r>
    <n v="395"/>
    <x v="0"/>
    <x v="2"/>
    <d v="2024-03-16T00:00:00"/>
    <s v="Saturday"/>
    <x v="13"/>
    <n v="223"/>
    <n v="17"/>
    <n v="4924"/>
    <n v="269"/>
    <n v="329"/>
    <n v="69"/>
    <n v="1.1354589764419101"/>
    <s v="low"/>
    <n v="0"/>
  </r>
  <r>
    <n v="396"/>
    <x v="2"/>
    <x v="1"/>
    <d v="2024-06-15T00:00:00"/>
    <s v="Saturday"/>
    <x v="12"/>
    <n v="234"/>
    <n v="3"/>
    <n v="2312"/>
    <n v="537"/>
    <n v="471"/>
    <n v="13"/>
    <n v="1.44160899653979"/>
    <s v="low"/>
    <n v="0"/>
  </r>
  <r>
    <n v="397"/>
    <x v="2"/>
    <x v="0"/>
    <d v="2024-07-31T00:00:00"/>
    <s v="Wednesday"/>
    <x v="0"/>
    <n v="71"/>
    <n v="9"/>
    <n v="1275"/>
    <n v="156"/>
    <n v="582"/>
    <n v="603"/>
    <n v="2.0517647058823498"/>
    <s v="average"/>
    <n v="1"/>
  </r>
  <r>
    <n v="398"/>
    <x v="2"/>
    <x v="2"/>
    <d v="2024-10-01T00:00:00"/>
    <s v="Tuesday"/>
    <x v="11"/>
    <n v="39"/>
    <n v="5"/>
    <n v="2866"/>
    <n v="425"/>
    <n v="272"/>
    <n v="393"/>
    <n v="1.38032100488485"/>
    <s v="low"/>
    <n v="0"/>
  </r>
  <r>
    <n v="399"/>
    <x v="1"/>
    <x v="2"/>
    <d v="2024-05-21T00:00:00"/>
    <s v="Tuesday"/>
    <x v="16"/>
    <n v="45"/>
    <n v="15"/>
    <n v="3351"/>
    <n v="152"/>
    <n v="413"/>
    <n v="40"/>
    <n v="1.18054312145628"/>
    <s v="low"/>
    <n v="0"/>
  </r>
  <r>
    <n v="400"/>
    <x v="1"/>
    <x v="2"/>
    <d v="2024-05-17T00:00:00"/>
    <s v="Friday"/>
    <x v="11"/>
    <n v="70"/>
    <n v="7"/>
    <n v="3101"/>
    <n v="25"/>
    <n v="347"/>
    <n v="311"/>
    <n v="1.22025153176394"/>
    <s v="low"/>
    <n v="0"/>
  </r>
  <r>
    <n v="401"/>
    <x v="1"/>
    <x v="1"/>
    <d v="2024-03-09T00:00:00"/>
    <s v="Saturday"/>
    <x v="8"/>
    <n v="65"/>
    <n v="6"/>
    <n v="2511"/>
    <n v="766"/>
    <n v="455"/>
    <n v="329"/>
    <n v="1.61728395061728"/>
    <s v="average"/>
    <n v="0"/>
  </r>
  <r>
    <n v="402"/>
    <x v="1"/>
    <x v="0"/>
    <d v="2024-08-14T00:00:00"/>
    <s v="Wednesday"/>
    <x v="12"/>
    <n v="101"/>
    <n v="2"/>
    <n v="1781"/>
    <n v="421"/>
    <n v="498"/>
    <n v="529"/>
    <n v="1.81302638966872"/>
    <s v="average"/>
    <n v="0"/>
  </r>
  <r>
    <n v="403"/>
    <x v="2"/>
    <x v="0"/>
    <d v="2024-06-08T00:00:00"/>
    <s v="Saturday"/>
    <x v="2"/>
    <n v="118"/>
    <n v="6"/>
    <n v="4201"/>
    <n v="418"/>
    <n v="140"/>
    <n v="537"/>
    <n v="1.2606522256605499"/>
    <s v="low"/>
    <n v="0"/>
  </r>
  <r>
    <n v="404"/>
    <x v="1"/>
    <x v="1"/>
    <d v="2024-01-30T00:00:00"/>
    <s v="Tuesday"/>
    <x v="10"/>
    <n v="160"/>
    <n v="11"/>
    <n v="2093"/>
    <n v="38"/>
    <n v="469"/>
    <n v="52"/>
    <n v="1.26708074534161"/>
    <s v="low"/>
    <n v="0"/>
  </r>
  <r>
    <n v="405"/>
    <x v="0"/>
    <x v="0"/>
    <d v="2024-08-25T00:00:00"/>
    <s v="Sunday"/>
    <x v="5"/>
    <n v="270"/>
    <n v="19"/>
    <n v="4187"/>
    <n v="411"/>
    <n v="128"/>
    <n v="698"/>
    <n v="1.29543826128492"/>
    <s v="low"/>
    <n v="0"/>
  </r>
  <r>
    <n v="406"/>
    <x v="1"/>
    <x v="0"/>
    <d v="2024-08-16T00:00:00"/>
    <s v="Friday"/>
    <x v="15"/>
    <n v="66"/>
    <n v="9"/>
    <n v="1504"/>
    <n v="490"/>
    <n v="566"/>
    <n v="359"/>
    <n v="1.9408244680850999"/>
    <s v="average"/>
    <n v="0"/>
  </r>
  <r>
    <n v="407"/>
    <x v="0"/>
    <x v="0"/>
    <d v="2024-01-15T00:00:00"/>
    <s v="Monday"/>
    <x v="16"/>
    <n v="125"/>
    <n v="8"/>
    <n v="3216"/>
    <n v="55"/>
    <n v="168"/>
    <n v="586"/>
    <n v="1.2515547263681499"/>
    <s v="low"/>
    <n v="0"/>
  </r>
  <r>
    <n v="408"/>
    <x v="0"/>
    <x v="1"/>
    <d v="2024-07-28T00:00:00"/>
    <s v="Sunday"/>
    <x v="2"/>
    <n v="24"/>
    <n v="7"/>
    <n v="4254"/>
    <n v="25"/>
    <n v="11"/>
    <n v="486"/>
    <n v="1.12270803949224"/>
    <s v="low"/>
    <n v="0"/>
  </r>
  <r>
    <n v="409"/>
    <x v="1"/>
    <x v="2"/>
    <d v="2024-05-09T00:00:00"/>
    <s v="Thursday"/>
    <x v="17"/>
    <n v="149"/>
    <n v="6"/>
    <n v="2552"/>
    <n v="734"/>
    <n v="283"/>
    <n v="434"/>
    <n v="1.56857366771159"/>
    <s v="low"/>
    <n v="0"/>
  </r>
  <r>
    <n v="410"/>
    <x v="1"/>
    <x v="1"/>
    <d v="2024-08-26T00:00:00"/>
    <s v="Monday"/>
    <x v="0"/>
    <n v="23"/>
    <n v="16"/>
    <n v="2525"/>
    <n v="698"/>
    <n v="535"/>
    <n v="639"/>
    <n v="1.74138613861386"/>
    <s v="average"/>
    <n v="0"/>
  </r>
  <r>
    <n v="411"/>
    <x v="2"/>
    <x v="0"/>
    <d v="2024-07-10T00:00:00"/>
    <s v="Wednesday"/>
    <x v="11"/>
    <n v="52"/>
    <n v="10"/>
    <n v="4649"/>
    <n v="667"/>
    <n v="291"/>
    <n v="306"/>
    <n v="1.2718864271886401"/>
    <s v="low"/>
    <n v="0"/>
  </r>
  <r>
    <n v="412"/>
    <x v="2"/>
    <x v="1"/>
    <d v="2024-05-21T00:00:00"/>
    <s v="Tuesday"/>
    <x v="4"/>
    <n v="116"/>
    <n v="4"/>
    <n v="2713"/>
    <n v="288"/>
    <n v="269"/>
    <n v="672"/>
    <n v="1.4530040545521501"/>
    <s v="low"/>
    <n v="0"/>
  </r>
  <r>
    <n v="413"/>
    <x v="1"/>
    <x v="1"/>
    <d v="2024-09-21T00:00:00"/>
    <s v="Saturday"/>
    <x v="9"/>
    <n v="33"/>
    <n v="20"/>
    <n v="2018"/>
    <n v="63"/>
    <n v="415"/>
    <n v="677"/>
    <n v="1.5723488602576801"/>
    <s v="low"/>
    <n v="0"/>
  </r>
  <r>
    <n v="414"/>
    <x v="1"/>
    <x v="1"/>
    <d v="2024-09-11T00:00:00"/>
    <s v="Wednesday"/>
    <x v="14"/>
    <n v="117"/>
    <n v="10"/>
    <n v="2471"/>
    <n v="270"/>
    <n v="430"/>
    <n v="415"/>
    <n v="1.4512343180898399"/>
    <s v="low"/>
    <n v="0"/>
  </r>
  <r>
    <n v="415"/>
    <x v="1"/>
    <x v="1"/>
    <d v="2024-04-23T00:00:00"/>
    <s v="Tuesday"/>
    <x v="4"/>
    <n v="107"/>
    <n v="17"/>
    <n v="4429"/>
    <n v="658"/>
    <n v="489"/>
    <n v="688"/>
    <n v="1.4143147437344701"/>
    <s v="low"/>
    <n v="0"/>
  </r>
  <r>
    <n v="416"/>
    <x v="2"/>
    <x v="2"/>
    <d v="2024-04-02T00:00:00"/>
    <s v="Tuesday"/>
    <x v="13"/>
    <n v="113"/>
    <n v="10"/>
    <n v="2456"/>
    <n v="104"/>
    <n v="484"/>
    <n v="132"/>
    <n v="1.29315960912052"/>
    <s v="low"/>
    <n v="0"/>
  </r>
  <r>
    <n v="417"/>
    <x v="1"/>
    <x v="2"/>
    <d v="2024-02-15T00:00:00"/>
    <s v="Thursday"/>
    <x v="5"/>
    <n v="153"/>
    <n v="18"/>
    <n v="1870"/>
    <n v="368"/>
    <n v="230"/>
    <n v="315"/>
    <n v="1.48823529411764"/>
    <s v="low"/>
    <n v="0"/>
  </r>
  <r>
    <n v="418"/>
    <x v="2"/>
    <x v="1"/>
    <d v="2024-05-30T00:00:00"/>
    <s v="Thursday"/>
    <x v="3"/>
    <n v="261"/>
    <n v="6"/>
    <n v="3849"/>
    <n v="125"/>
    <n v="483"/>
    <n v="55"/>
    <n v="1.1722525331254801"/>
    <s v="low"/>
    <n v="0"/>
  </r>
  <r>
    <n v="419"/>
    <x v="1"/>
    <x v="2"/>
    <d v="2024-09-13T00:00:00"/>
    <s v="Friday"/>
    <x v="14"/>
    <n v="97"/>
    <n v="4"/>
    <n v="1031"/>
    <n v="702"/>
    <n v="392"/>
    <n v="543"/>
    <n v="2.58777885548011"/>
    <s v="high"/>
    <n v="0"/>
  </r>
  <r>
    <n v="420"/>
    <x v="0"/>
    <x v="2"/>
    <d v="2024-04-12T00:00:00"/>
    <s v="Friday"/>
    <x v="2"/>
    <n v="61"/>
    <n v="15"/>
    <n v="2857"/>
    <n v="424"/>
    <n v="585"/>
    <n v="469"/>
    <n v="1.51732586629331"/>
    <s v="low"/>
    <n v="0"/>
  </r>
  <r>
    <n v="421"/>
    <x v="1"/>
    <x v="2"/>
    <d v="2024-06-19T00:00:00"/>
    <s v="Wednesday"/>
    <x v="10"/>
    <n v="106"/>
    <n v="18"/>
    <n v="1498"/>
    <n v="325"/>
    <n v="61"/>
    <n v="5"/>
    <n v="1.26101468624833"/>
    <s v="low"/>
    <n v="0"/>
  </r>
  <r>
    <n v="422"/>
    <x v="2"/>
    <x v="2"/>
    <d v="2024-03-22T00:00:00"/>
    <s v="Friday"/>
    <x v="8"/>
    <n v="226"/>
    <n v="13"/>
    <n v="4060"/>
    <n v="786"/>
    <n v="92"/>
    <n v="133"/>
    <n v="1.24901477832512"/>
    <s v="low"/>
    <n v="0"/>
  </r>
  <r>
    <n v="423"/>
    <x v="0"/>
    <x v="1"/>
    <d v="2024-09-01T00:00:00"/>
    <s v="Sunday"/>
    <x v="5"/>
    <n v="27"/>
    <n v="10"/>
    <n v="3190"/>
    <n v="9"/>
    <n v="40"/>
    <n v="547"/>
    <n v="1.1868338557993701"/>
    <s v="low"/>
    <n v="0"/>
  </r>
  <r>
    <n v="424"/>
    <x v="2"/>
    <x v="0"/>
    <d v="2024-09-28T00:00:00"/>
    <s v="Saturday"/>
    <x v="16"/>
    <n v="196"/>
    <n v="9"/>
    <n v="1611"/>
    <n v="23"/>
    <n v="6"/>
    <n v="642"/>
    <n v="1.4165114835505801"/>
    <s v="low"/>
    <n v="0"/>
  </r>
  <r>
    <n v="425"/>
    <x v="1"/>
    <x v="0"/>
    <d v="2024-03-07T00:00:00"/>
    <s v="Thursday"/>
    <x v="3"/>
    <n v="43"/>
    <n v="9"/>
    <n v="891"/>
    <n v="397"/>
    <n v="517"/>
    <n v="603"/>
    <n v="2.7025813692480298"/>
    <s v="high"/>
    <n v="0"/>
  </r>
  <r>
    <n v="426"/>
    <x v="2"/>
    <x v="2"/>
    <d v="2024-05-28T00:00:00"/>
    <s v="Tuesday"/>
    <x v="8"/>
    <n v="88"/>
    <n v="10"/>
    <n v="3784"/>
    <n v="750"/>
    <n v="534"/>
    <n v="611"/>
    <n v="1.5007928118393199"/>
    <s v="low"/>
    <n v="0"/>
  </r>
  <r>
    <n v="427"/>
    <x v="1"/>
    <x v="0"/>
    <d v="2024-09-07T00:00:00"/>
    <s v="Saturday"/>
    <x v="16"/>
    <n v="134"/>
    <n v="4"/>
    <n v="2992"/>
    <n v="773"/>
    <n v="194"/>
    <n v="169"/>
    <n v="1.37967914438502"/>
    <s v="low"/>
    <n v="0"/>
  </r>
  <r>
    <n v="428"/>
    <x v="0"/>
    <x v="2"/>
    <d v="2024-04-18T00:00:00"/>
    <s v="Thursday"/>
    <x v="14"/>
    <n v="212"/>
    <n v="20"/>
    <n v="229"/>
    <n v="608"/>
    <n v="518"/>
    <n v="174"/>
    <n v="6.6768558951964998"/>
    <s v="high"/>
    <n v="0"/>
  </r>
  <r>
    <n v="429"/>
    <x v="0"/>
    <x v="1"/>
    <d v="2024-05-10T00:00:00"/>
    <s v="Friday"/>
    <x v="0"/>
    <n v="30"/>
    <n v="1"/>
    <n v="4430"/>
    <n v="643"/>
    <n v="51"/>
    <n v="609"/>
    <n v="1.2941309255079001"/>
    <s v="low"/>
    <n v="0"/>
  </r>
  <r>
    <n v="430"/>
    <x v="2"/>
    <x v="2"/>
    <d v="2024-02-29T00:00:00"/>
    <s v="Thursday"/>
    <x v="11"/>
    <n v="98"/>
    <n v="6"/>
    <n v="3464"/>
    <n v="459"/>
    <n v="391"/>
    <n v="127"/>
    <n v="1.2820438799076199"/>
    <s v="low"/>
    <n v="0"/>
  </r>
  <r>
    <n v="431"/>
    <x v="2"/>
    <x v="2"/>
    <d v="2024-01-05T00:00:00"/>
    <s v="Friday"/>
    <x v="9"/>
    <n v="234"/>
    <n v="3"/>
    <n v="2516"/>
    <n v="435"/>
    <n v="105"/>
    <n v="679"/>
    <n v="1.4844992050874399"/>
    <s v="low"/>
    <n v="0"/>
  </r>
  <r>
    <n v="432"/>
    <x v="1"/>
    <x v="0"/>
    <d v="2024-09-18T00:00:00"/>
    <s v="Wednesday"/>
    <x v="10"/>
    <n v="154"/>
    <n v="16"/>
    <n v="1014"/>
    <n v="294"/>
    <n v="118"/>
    <n v="109"/>
    <n v="1.5138067061143901"/>
    <s v="low"/>
    <n v="0"/>
  </r>
  <r>
    <n v="433"/>
    <x v="0"/>
    <x v="0"/>
    <d v="2024-04-13T00:00:00"/>
    <s v="Saturday"/>
    <x v="13"/>
    <n v="274"/>
    <n v="6"/>
    <n v="2982"/>
    <n v="725"/>
    <n v="421"/>
    <n v="303"/>
    <n v="1.4859154929577401"/>
    <s v="low"/>
    <n v="0"/>
  </r>
  <r>
    <n v="434"/>
    <x v="2"/>
    <x v="0"/>
    <d v="2024-09-03T00:00:00"/>
    <s v="Tuesday"/>
    <x v="0"/>
    <n v="272"/>
    <n v="4"/>
    <n v="2758"/>
    <n v="245"/>
    <n v="4"/>
    <n v="14"/>
    <n v="1.0953589557650401"/>
    <s v="low"/>
    <n v="0"/>
  </r>
  <r>
    <n v="435"/>
    <x v="2"/>
    <x v="0"/>
    <d v="2024-02-16T00:00:00"/>
    <s v="Friday"/>
    <x v="17"/>
    <n v="171"/>
    <n v="8"/>
    <n v="4241"/>
    <n v="81"/>
    <n v="105"/>
    <n v="263"/>
    <n v="1.1058712567790601"/>
    <s v="low"/>
    <n v="0"/>
  </r>
  <r>
    <n v="436"/>
    <x v="1"/>
    <x v="2"/>
    <d v="2024-08-25T00:00:00"/>
    <s v="Sunday"/>
    <x v="6"/>
    <n v="238"/>
    <n v="3"/>
    <n v="460"/>
    <n v="107"/>
    <n v="180"/>
    <n v="41"/>
    <n v="1.7130434782608599"/>
    <s v="average"/>
    <n v="0"/>
  </r>
  <r>
    <n v="437"/>
    <x v="2"/>
    <x v="0"/>
    <d v="2024-02-18T00:00:00"/>
    <s v="Sunday"/>
    <x v="6"/>
    <n v="203"/>
    <n v="14"/>
    <n v="425"/>
    <n v="14"/>
    <n v="143"/>
    <n v="680"/>
    <n v="2.96941176470588"/>
    <s v="high"/>
    <n v="0"/>
  </r>
  <r>
    <n v="438"/>
    <x v="0"/>
    <x v="2"/>
    <d v="2024-05-17T00:00:00"/>
    <s v="Friday"/>
    <x v="7"/>
    <n v="253"/>
    <n v="8"/>
    <n v="811"/>
    <n v="386"/>
    <n v="352"/>
    <n v="188"/>
    <n v="2.1418002466091202"/>
    <s v="average"/>
    <n v="0"/>
  </r>
  <r>
    <n v="439"/>
    <x v="0"/>
    <x v="1"/>
    <d v="2024-07-16T00:00:00"/>
    <s v="Tuesday"/>
    <x v="14"/>
    <n v="101"/>
    <n v="3"/>
    <n v="3967"/>
    <n v="436"/>
    <n v="172"/>
    <n v="116"/>
    <n v="1.1825056717922799"/>
    <s v="low"/>
    <n v="0"/>
  </r>
  <r>
    <n v="440"/>
    <x v="1"/>
    <x v="0"/>
    <d v="2024-08-01T00:00:00"/>
    <s v="Thursday"/>
    <x v="7"/>
    <n v="203"/>
    <n v="19"/>
    <n v="4889"/>
    <n v="499"/>
    <n v="584"/>
    <n v="695"/>
    <n v="1.36367355287379"/>
    <s v="low"/>
    <n v="0"/>
  </r>
  <r>
    <n v="441"/>
    <x v="1"/>
    <x v="2"/>
    <d v="2024-01-15T00:00:00"/>
    <s v="Monday"/>
    <x v="14"/>
    <n v="52"/>
    <n v="8"/>
    <n v="1120"/>
    <n v="499"/>
    <n v="501"/>
    <n v="116"/>
    <n v="1.9964285714285701"/>
    <s v="average"/>
    <n v="0"/>
  </r>
  <r>
    <n v="442"/>
    <x v="2"/>
    <x v="1"/>
    <d v="2024-06-09T00:00:00"/>
    <s v="Sunday"/>
    <x v="16"/>
    <n v="193"/>
    <n v="16"/>
    <n v="151"/>
    <n v="726"/>
    <n v="539"/>
    <n v="591"/>
    <n v="13.2913907284768"/>
    <s v="high"/>
    <n v="0"/>
  </r>
  <r>
    <n v="443"/>
    <x v="1"/>
    <x v="1"/>
    <d v="2024-09-24T00:00:00"/>
    <s v="Tuesday"/>
    <x v="7"/>
    <n v="96"/>
    <n v="17"/>
    <n v="830"/>
    <n v="448"/>
    <n v="256"/>
    <n v="494"/>
    <n v="2.4433734939759"/>
    <s v="high"/>
    <n v="0"/>
  </r>
  <r>
    <n v="444"/>
    <x v="1"/>
    <x v="2"/>
    <d v="2024-01-28T00:00:00"/>
    <s v="Sunday"/>
    <x v="2"/>
    <n v="58"/>
    <n v="15"/>
    <n v="145"/>
    <n v="663"/>
    <n v="162"/>
    <n v="518"/>
    <n v="10.2620689655172"/>
    <s v="high"/>
    <n v="0"/>
  </r>
  <r>
    <n v="445"/>
    <x v="2"/>
    <x v="0"/>
    <d v="2024-06-13T00:00:00"/>
    <s v="Thursday"/>
    <x v="13"/>
    <n v="213"/>
    <n v="12"/>
    <n v="2023"/>
    <n v="343"/>
    <n v="286"/>
    <n v="52"/>
    <n v="1.3366287691547201"/>
    <s v="low"/>
    <n v="0"/>
  </r>
  <r>
    <n v="446"/>
    <x v="1"/>
    <x v="0"/>
    <d v="2024-04-30T00:00:00"/>
    <s v="Tuesday"/>
    <x v="11"/>
    <n v="248"/>
    <n v="10"/>
    <n v="695"/>
    <n v="475"/>
    <n v="456"/>
    <n v="587"/>
    <n v="3.1841726618705"/>
    <s v="high"/>
    <n v="0"/>
  </r>
  <r>
    <n v="447"/>
    <x v="1"/>
    <x v="2"/>
    <d v="2024-03-01T00:00:00"/>
    <s v="Friday"/>
    <x v="14"/>
    <n v="20"/>
    <n v="2"/>
    <n v="4124"/>
    <n v="768"/>
    <n v="20"/>
    <n v="106"/>
    <n v="1.21677982541222"/>
    <s v="low"/>
    <n v="0"/>
  </r>
  <r>
    <n v="448"/>
    <x v="2"/>
    <x v="2"/>
    <d v="2024-06-04T00:00:00"/>
    <s v="Tuesday"/>
    <x v="6"/>
    <n v="206"/>
    <n v="1"/>
    <n v="4214"/>
    <n v="580"/>
    <n v="213"/>
    <n v="671"/>
    <n v="1.3474133839582301"/>
    <s v="low"/>
    <n v="0"/>
  </r>
  <r>
    <n v="449"/>
    <x v="2"/>
    <x v="2"/>
    <d v="2024-04-24T00:00:00"/>
    <s v="Wednesday"/>
    <x v="5"/>
    <n v="251"/>
    <n v="3"/>
    <n v="3772"/>
    <n v="344"/>
    <n v="575"/>
    <n v="635"/>
    <n v="1.4119830328737999"/>
    <s v="low"/>
    <n v="0"/>
  </r>
  <r>
    <n v="450"/>
    <x v="2"/>
    <x v="2"/>
    <d v="2024-02-19T00:00:00"/>
    <s v="Monday"/>
    <x v="13"/>
    <n v="287"/>
    <n v="11"/>
    <n v="1866"/>
    <n v="7"/>
    <n v="351"/>
    <n v="364"/>
    <n v="1.3869239013933501"/>
    <s v="low"/>
    <n v="0"/>
  </r>
  <r>
    <n v="451"/>
    <x v="2"/>
    <x v="1"/>
    <d v="2024-02-24T00:00:00"/>
    <s v="Saturday"/>
    <x v="8"/>
    <n v="74"/>
    <n v="8"/>
    <n v="425"/>
    <n v="173"/>
    <n v="506"/>
    <n v="144"/>
    <n v="2.9364705882352902"/>
    <s v="high"/>
    <n v="0"/>
  </r>
  <r>
    <n v="452"/>
    <x v="1"/>
    <x v="0"/>
    <d v="2024-04-10T00:00:00"/>
    <s v="Wednesday"/>
    <x v="6"/>
    <n v="75"/>
    <n v="13"/>
    <n v="1586"/>
    <n v="128"/>
    <n v="404"/>
    <n v="221"/>
    <n v="1.4747793190416101"/>
    <s v="low"/>
    <n v="0"/>
  </r>
  <r>
    <n v="453"/>
    <x v="2"/>
    <x v="1"/>
    <d v="2024-01-24T00:00:00"/>
    <s v="Wednesday"/>
    <x v="12"/>
    <n v="88"/>
    <n v="15"/>
    <n v="4873"/>
    <n v="131"/>
    <n v="463"/>
    <n v="469"/>
    <n v="1.21814077570285"/>
    <s v="low"/>
    <n v="0"/>
  </r>
  <r>
    <n v="454"/>
    <x v="1"/>
    <x v="1"/>
    <d v="2024-01-03T00:00:00"/>
    <s v="Wednesday"/>
    <x v="11"/>
    <n v="280"/>
    <n v="5"/>
    <n v="4394"/>
    <n v="758"/>
    <n v="51"/>
    <n v="567"/>
    <n v="1.31315430131998"/>
    <s v="low"/>
    <n v="0"/>
  </r>
  <r>
    <n v="455"/>
    <x v="1"/>
    <x v="1"/>
    <d v="2024-10-23T00:00:00"/>
    <s v="Wednesday"/>
    <x v="6"/>
    <n v="278"/>
    <n v="12"/>
    <n v="1472"/>
    <n v="753"/>
    <n v="133"/>
    <n v="107"/>
    <n v="1.6745923913043399"/>
    <s v="average"/>
    <n v="0"/>
  </r>
  <r>
    <n v="456"/>
    <x v="1"/>
    <x v="2"/>
    <d v="2024-08-02T00:00:00"/>
    <s v="Friday"/>
    <x v="9"/>
    <n v="90"/>
    <n v="13"/>
    <n v="2083"/>
    <n v="285"/>
    <n v="409"/>
    <n v="352"/>
    <n v="1.5021603456553001"/>
    <s v="low"/>
    <n v="0"/>
  </r>
  <r>
    <n v="457"/>
    <x v="2"/>
    <x v="1"/>
    <d v="2024-09-19T00:00:00"/>
    <s v="Thursday"/>
    <x v="13"/>
    <n v="131"/>
    <n v="6"/>
    <n v="2498"/>
    <n v="723"/>
    <n v="562"/>
    <n v="322"/>
    <n v="1.6433146517213699"/>
    <s v="average"/>
    <n v="0"/>
  </r>
  <r>
    <n v="458"/>
    <x v="0"/>
    <x v="1"/>
    <d v="2024-04-17T00:00:00"/>
    <s v="Wednesday"/>
    <x v="2"/>
    <n v="277"/>
    <n v="17"/>
    <n v="2430"/>
    <n v="708"/>
    <n v="355"/>
    <n v="689"/>
    <n v="1.7209876543209801"/>
    <s v="average"/>
    <n v="0"/>
  </r>
  <r>
    <n v="459"/>
    <x v="1"/>
    <x v="1"/>
    <d v="2024-06-14T00:00:00"/>
    <s v="Friday"/>
    <x v="8"/>
    <n v="293"/>
    <n v="9"/>
    <n v="995"/>
    <n v="784"/>
    <n v="362"/>
    <n v="576"/>
    <n v="2.7306532663316498"/>
    <s v="high"/>
    <n v="0"/>
  </r>
  <r>
    <n v="460"/>
    <x v="1"/>
    <x v="0"/>
    <d v="2024-08-04T00:00:00"/>
    <s v="Sunday"/>
    <x v="14"/>
    <n v="48"/>
    <n v="6"/>
    <n v="154"/>
    <n v="540"/>
    <n v="111"/>
    <n v="26"/>
    <n v="5.3961038961038899"/>
    <s v="high"/>
    <n v="0"/>
  </r>
  <r>
    <n v="461"/>
    <x v="0"/>
    <x v="1"/>
    <d v="2024-05-16T00:00:00"/>
    <s v="Thursday"/>
    <x v="4"/>
    <n v="124"/>
    <n v="17"/>
    <n v="1368"/>
    <n v="298"/>
    <n v="258"/>
    <n v="150"/>
    <n v="1.5160818713450199"/>
    <s v="low"/>
    <n v="0"/>
  </r>
  <r>
    <n v="462"/>
    <x v="2"/>
    <x v="1"/>
    <d v="2024-01-17T00:00:00"/>
    <s v="Wednesday"/>
    <x v="13"/>
    <n v="134"/>
    <n v="20"/>
    <n v="2988"/>
    <n v="468"/>
    <n v="106"/>
    <n v="631"/>
    <n v="1.4032797858099"/>
    <s v="low"/>
    <n v="0"/>
  </r>
  <r>
    <n v="463"/>
    <x v="2"/>
    <x v="1"/>
    <d v="2024-10-14T00:00:00"/>
    <s v="Monday"/>
    <x v="14"/>
    <n v="215"/>
    <n v="12"/>
    <n v="3235"/>
    <n v="248"/>
    <n v="525"/>
    <n v="295"/>
    <n v="1.33013910355486"/>
    <s v="low"/>
    <n v="0"/>
  </r>
  <r>
    <n v="464"/>
    <x v="2"/>
    <x v="2"/>
    <d v="2024-08-01T00:00:00"/>
    <s v="Thursday"/>
    <x v="10"/>
    <n v="246"/>
    <n v="7"/>
    <n v="2611"/>
    <n v="570"/>
    <n v="57"/>
    <n v="14"/>
    <n v="1.24549980850248"/>
    <s v="low"/>
    <n v="0"/>
  </r>
  <r>
    <n v="465"/>
    <x v="1"/>
    <x v="2"/>
    <d v="2024-07-07T00:00:00"/>
    <s v="Sunday"/>
    <x v="2"/>
    <n v="58"/>
    <n v="5"/>
    <n v="4870"/>
    <n v="564"/>
    <n v="203"/>
    <n v="199"/>
    <n v="1.1983572895277199"/>
    <s v="low"/>
    <n v="0"/>
  </r>
  <r>
    <n v="466"/>
    <x v="1"/>
    <x v="2"/>
    <d v="2024-03-29T00:00:00"/>
    <s v="Friday"/>
    <x v="13"/>
    <n v="155"/>
    <n v="4"/>
    <n v="4259"/>
    <n v="127"/>
    <n v="388"/>
    <n v="42"/>
    <n v="1.1307818736792601"/>
    <s v="low"/>
    <n v="0"/>
  </r>
  <r>
    <n v="467"/>
    <x v="1"/>
    <x v="1"/>
    <d v="2024-03-23T00:00:00"/>
    <s v="Saturday"/>
    <x v="9"/>
    <n v="40"/>
    <n v="4"/>
    <n v="4834"/>
    <n v="266"/>
    <n v="7"/>
    <n v="339"/>
    <n v="1.12660322714108"/>
    <s v="low"/>
    <n v="0"/>
  </r>
  <r>
    <n v="468"/>
    <x v="2"/>
    <x v="1"/>
    <d v="2024-06-14T00:00:00"/>
    <s v="Friday"/>
    <x v="5"/>
    <n v="57"/>
    <n v="10"/>
    <n v="4939"/>
    <n v="57"/>
    <n v="310"/>
    <n v="503"/>
    <n v="1.17614901801984"/>
    <s v="low"/>
    <n v="0"/>
  </r>
  <r>
    <n v="469"/>
    <x v="2"/>
    <x v="0"/>
    <d v="2024-09-26T00:00:00"/>
    <s v="Thursday"/>
    <x v="8"/>
    <n v="298"/>
    <n v="17"/>
    <n v="1851"/>
    <n v="193"/>
    <n v="535"/>
    <n v="70"/>
    <n v="1.43111831442463"/>
    <s v="low"/>
    <n v="0"/>
  </r>
  <r>
    <n v="470"/>
    <x v="2"/>
    <x v="2"/>
    <d v="2024-07-25T00:00:00"/>
    <s v="Thursday"/>
    <x v="6"/>
    <n v="204"/>
    <n v="9"/>
    <n v="803"/>
    <n v="362"/>
    <n v="228"/>
    <n v="219"/>
    <n v="2.0074719800747198"/>
    <s v="average"/>
    <n v="0"/>
  </r>
  <r>
    <n v="471"/>
    <x v="0"/>
    <x v="0"/>
    <d v="2024-04-21T00:00:00"/>
    <s v="Sunday"/>
    <x v="5"/>
    <n v="248"/>
    <n v="7"/>
    <n v="4395"/>
    <n v="491"/>
    <n v="576"/>
    <n v="665"/>
    <n v="1.3940841865756499"/>
    <s v="low"/>
    <n v="0"/>
  </r>
  <r>
    <n v="472"/>
    <x v="0"/>
    <x v="2"/>
    <d v="2024-05-04T00:00:00"/>
    <s v="Saturday"/>
    <x v="15"/>
    <n v="296"/>
    <n v="9"/>
    <n v="376"/>
    <n v="703"/>
    <n v="330"/>
    <n v="391"/>
    <n v="4.7872340425531901"/>
    <s v="high"/>
    <n v="0"/>
  </r>
  <r>
    <n v="473"/>
    <x v="2"/>
    <x v="2"/>
    <d v="2024-01-13T00:00:00"/>
    <s v="Saturday"/>
    <x v="11"/>
    <n v="42"/>
    <n v="9"/>
    <n v="4284"/>
    <n v="793"/>
    <n v="385"/>
    <n v="527"/>
    <n v="1.3979925303454701"/>
    <s v="low"/>
    <n v="0"/>
  </r>
  <r>
    <n v="474"/>
    <x v="0"/>
    <x v="1"/>
    <d v="2024-04-08T00:00:00"/>
    <s v="Monday"/>
    <x v="13"/>
    <n v="23"/>
    <n v="20"/>
    <n v="2674"/>
    <n v="531"/>
    <n v="86"/>
    <n v="99"/>
    <n v="1.2677636499625999"/>
    <s v="low"/>
    <n v="0"/>
  </r>
  <r>
    <n v="475"/>
    <x v="0"/>
    <x v="0"/>
    <d v="2024-02-03T00:00:00"/>
    <s v="Saturday"/>
    <x v="13"/>
    <n v="242"/>
    <n v="20"/>
    <n v="1776"/>
    <n v="691"/>
    <n v="220"/>
    <n v="435"/>
    <n v="1.7578828828828801"/>
    <s v="average"/>
    <n v="0"/>
  </r>
  <r>
    <n v="476"/>
    <x v="0"/>
    <x v="0"/>
    <d v="2024-02-06T00:00:00"/>
    <s v="Tuesday"/>
    <x v="3"/>
    <n v="47"/>
    <n v="5"/>
    <n v="1309"/>
    <n v="29"/>
    <n v="472"/>
    <n v="340"/>
    <n v="1.6424751718869299"/>
    <s v="average"/>
    <n v="0"/>
  </r>
  <r>
    <n v="477"/>
    <x v="1"/>
    <x v="2"/>
    <d v="2024-05-08T00:00:00"/>
    <s v="Wednesday"/>
    <x v="7"/>
    <n v="250"/>
    <n v="20"/>
    <n v="4621"/>
    <n v="77"/>
    <n v="590"/>
    <n v="234"/>
    <n v="1.19497944167929"/>
    <s v="low"/>
    <n v="0"/>
  </r>
  <r>
    <n v="478"/>
    <x v="2"/>
    <x v="0"/>
    <d v="2024-07-26T00:00:00"/>
    <s v="Friday"/>
    <x v="13"/>
    <n v="23"/>
    <n v="20"/>
    <n v="3597"/>
    <n v="328"/>
    <n v="19"/>
    <n v="399"/>
    <n v="1.20739505143174"/>
    <s v="low"/>
    <n v="0"/>
  </r>
  <r>
    <n v="479"/>
    <x v="2"/>
    <x v="0"/>
    <d v="2024-02-02T00:00:00"/>
    <s v="Friday"/>
    <x v="4"/>
    <n v="174"/>
    <n v="19"/>
    <n v="4847"/>
    <n v="51"/>
    <n v="76"/>
    <n v="367"/>
    <n v="1.1019187126057299"/>
    <s v="low"/>
    <n v="0"/>
  </r>
  <r>
    <n v="480"/>
    <x v="1"/>
    <x v="1"/>
    <d v="2024-02-14T00:00:00"/>
    <s v="Wednesday"/>
    <x v="1"/>
    <n v="262"/>
    <n v="5"/>
    <n v="2356"/>
    <n v="788"/>
    <n v="450"/>
    <n v="391"/>
    <n v="1.69142614601018"/>
    <s v="average"/>
    <n v="0"/>
  </r>
  <r>
    <n v="481"/>
    <x v="1"/>
    <x v="1"/>
    <d v="2024-09-30T00:00:00"/>
    <s v="Monday"/>
    <x v="9"/>
    <n v="172"/>
    <n v="20"/>
    <n v="1851"/>
    <n v="144"/>
    <n v="402"/>
    <n v="559"/>
    <n v="1.59697460831982"/>
    <s v="low"/>
    <n v="0"/>
  </r>
  <r>
    <n v="482"/>
    <x v="0"/>
    <x v="0"/>
    <d v="2024-07-10T00:00:00"/>
    <s v="Wednesday"/>
    <x v="1"/>
    <n v="221"/>
    <n v="17"/>
    <n v="141"/>
    <n v="571"/>
    <n v="570"/>
    <n v="145"/>
    <n v="10.1205673758865"/>
    <s v="high"/>
    <n v="1"/>
  </r>
  <r>
    <n v="483"/>
    <x v="0"/>
    <x v="2"/>
    <d v="2024-10-07T00:00:00"/>
    <s v="Monday"/>
    <x v="12"/>
    <n v="92"/>
    <n v="5"/>
    <n v="747"/>
    <n v="317"/>
    <n v="217"/>
    <n v="353"/>
    <n v="2.18741633199464"/>
    <s v="average"/>
    <n v="0"/>
  </r>
  <r>
    <n v="484"/>
    <x v="0"/>
    <x v="0"/>
    <d v="2024-04-04T00:00:00"/>
    <s v="Thursday"/>
    <x v="14"/>
    <n v="256"/>
    <n v="20"/>
    <n v="1858"/>
    <n v="636"/>
    <n v="260"/>
    <n v="199"/>
    <n v="1.58934337997847"/>
    <s v="low"/>
    <n v="0"/>
  </r>
  <r>
    <n v="485"/>
    <x v="0"/>
    <x v="0"/>
    <d v="2024-10-08T00:00:00"/>
    <s v="Tuesday"/>
    <x v="11"/>
    <n v="189"/>
    <n v="11"/>
    <n v="649"/>
    <n v="302"/>
    <n v="70"/>
    <n v="257"/>
    <n v="1.9691833590138601"/>
    <s v="average"/>
    <n v="0"/>
  </r>
  <r>
    <n v="486"/>
    <x v="0"/>
    <x v="0"/>
    <d v="2024-03-06T00:00:00"/>
    <s v="Wednesday"/>
    <x v="6"/>
    <n v="268"/>
    <n v="14"/>
    <n v="1971"/>
    <n v="107"/>
    <n v="293"/>
    <n v="635"/>
    <n v="1.52511415525114"/>
    <s v="low"/>
    <n v="0"/>
  </r>
  <r>
    <n v="487"/>
    <x v="2"/>
    <x v="1"/>
    <d v="2024-06-17T00:00:00"/>
    <s v="Monday"/>
    <x v="5"/>
    <n v="181"/>
    <n v="13"/>
    <n v="2554"/>
    <n v="715"/>
    <n v="600"/>
    <n v="157"/>
    <n v="1.5763508222396201"/>
    <s v="low"/>
    <n v="0"/>
  </r>
  <r>
    <n v="488"/>
    <x v="2"/>
    <x v="1"/>
    <d v="2024-03-27T00:00:00"/>
    <s v="Wednesday"/>
    <x v="8"/>
    <n v="161"/>
    <n v="11"/>
    <n v="89"/>
    <n v="325"/>
    <n v="254"/>
    <n v="227"/>
    <n v="10.056179775280899"/>
    <s v="high"/>
    <n v="0"/>
  </r>
  <r>
    <n v="489"/>
    <x v="1"/>
    <x v="2"/>
    <d v="2024-03-09T00:00:00"/>
    <s v="Saturday"/>
    <x v="11"/>
    <n v="75"/>
    <n v="5"/>
    <n v="2766"/>
    <n v="496"/>
    <n v="475"/>
    <n v="457"/>
    <n v="1.51626898047722"/>
    <s v="low"/>
    <n v="0"/>
  </r>
  <r>
    <n v="490"/>
    <x v="1"/>
    <x v="1"/>
    <d v="2024-02-11T00:00:00"/>
    <s v="Sunday"/>
    <x v="3"/>
    <n v="58"/>
    <n v="0"/>
    <n v="2348"/>
    <n v="148"/>
    <n v="553"/>
    <n v="202"/>
    <n v="1.3845826235093599"/>
    <s v="low"/>
    <n v="0"/>
  </r>
  <r>
    <n v="491"/>
    <x v="2"/>
    <x v="0"/>
    <d v="2024-09-16T00:00:00"/>
    <s v="Monday"/>
    <x v="14"/>
    <n v="153"/>
    <n v="17"/>
    <n v="305"/>
    <n v="600"/>
    <n v="594"/>
    <n v="415"/>
    <n v="6.2754098360655703"/>
    <s v="high"/>
    <n v="1"/>
  </r>
  <r>
    <n v="492"/>
    <x v="1"/>
    <x v="0"/>
    <d v="2024-10-03T00:00:00"/>
    <s v="Thursday"/>
    <x v="4"/>
    <n v="88"/>
    <n v="14"/>
    <n v="3917"/>
    <n v="674"/>
    <n v="154"/>
    <n v="375"/>
    <n v="1.30712279805973"/>
    <s v="low"/>
    <n v="0"/>
  </r>
  <r>
    <n v="493"/>
    <x v="2"/>
    <x v="0"/>
    <d v="2024-09-13T00:00:00"/>
    <s v="Friday"/>
    <x v="16"/>
    <n v="104"/>
    <n v="16"/>
    <n v="4231"/>
    <n v="97"/>
    <n v="408"/>
    <n v="373"/>
    <n v="1.20751595367525"/>
    <s v="low"/>
    <n v="0"/>
  </r>
  <r>
    <n v="494"/>
    <x v="2"/>
    <x v="1"/>
    <d v="2024-03-12T00:00:00"/>
    <s v="Tuesday"/>
    <x v="9"/>
    <n v="267"/>
    <n v="11"/>
    <n v="3705"/>
    <n v="168"/>
    <n v="185"/>
    <n v="580"/>
    <n v="1.2518218623481701"/>
    <s v="low"/>
    <n v="0"/>
  </r>
  <r>
    <n v="495"/>
    <x v="0"/>
    <x v="2"/>
    <d v="2024-01-21T00:00:00"/>
    <s v="Sunday"/>
    <x v="5"/>
    <n v="139"/>
    <n v="1"/>
    <n v="1842"/>
    <n v="784"/>
    <n v="501"/>
    <n v="238"/>
    <n v="1.8268186753528699"/>
    <s v="average"/>
    <n v="0"/>
  </r>
  <r>
    <n v="496"/>
    <x v="1"/>
    <x v="0"/>
    <d v="2024-04-15T00:00:00"/>
    <s v="Monday"/>
    <x v="14"/>
    <n v="185"/>
    <n v="3"/>
    <n v="4292"/>
    <n v="374"/>
    <n v="399"/>
    <n v="481"/>
    <n v="1.2921714818266501"/>
    <s v="low"/>
    <n v="0"/>
  </r>
  <r>
    <n v="497"/>
    <x v="2"/>
    <x v="1"/>
    <d v="2024-09-23T00:00:00"/>
    <s v="Monday"/>
    <x v="2"/>
    <n v="212"/>
    <n v="20"/>
    <n v="2290"/>
    <n v="764"/>
    <n v="271"/>
    <n v="593"/>
    <n v="1.71091703056768"/>
    <s v="average"/>
    <n v="0"/>
  </r>
  <r>
    <n v="498"/>
    <x v="1"/>
    <x v="2"/>
    <d v="2024-07-12T00:00:00"/>
    <s v="Friday"/>
    <x v="16"/>
    <n v="284"/>
    <n v="12"/>
    <n v="3042"/>
    <n v="606"/>
    <n v="81"/>
    <n v="530"/>
    <n v="1.40006574621959"/>
    <s v="low"/>
    <n v="0"/>
  </r>
  <r>
    <n v="499"/>
    <x v="0"/>
    <x v="1"/>
    <d v="2024-06-29T00:00:00"/>
    <s v="Saturday"/>
    <x v="9"/>
    <n v="245"/>
    <n v="5"/>
    <n v="2876"/>
    <n v="503"/>
    <n v="495"/>
    <n v="619"/>
    <n v="1.5622392211404701"/>
    <s v="low"/>
    <n v="0"/>
  </r>
  <r>
    <n v="500"/>
    <x v="0"/>
    <x v="0"/>
    <d v="2024-04-27T00:00:00"/>
    <s v="Saturday"/>
    <x v="2"/>
    <n v="205"/>
    <n v="19"/>
    <n v="681"/>
    <n v="531"/>
    <n v="289"/>
    <n v="217"/>
    <n v="2.5227606461086598"/>
    <s v="high"/>
    <n v="0"/>
  </r>
  <r>
    <n v="501"/>
    <x v="1"/>
    <x v="1"/>
    <d v="2024-03-01T00:00:00"/>
    <s v="Friday"/>
    <x v="11"/>
    <n v="265"/>
    <n v="6"/>
    <n v="1936"/>
    <n v="429"/>
    <n v="340"/>
    <n v="117"/>
    <n v="1.4576446280991699"/>
    <s v="low"/>
    <n v="0"/>
  </r>
  <r>
    <n v="502"/>
    <x v="0"/>
    <x v="1"/>
    <d v="2024-03-23T00:00:00"/>
    <s v="Saturday"/>
    <x v="2"/>
    <n v="88"/>
    <n v="20"/>
    <n v="3416"/>
    <n v="27"/>
    <n v="251"/>
    <n v="45"/>
    <n v="1.0945550351288"/>
    <s v="low"/>
    <n v="0"/>
  </r>
  <r>
    <n v="503"/>
    <x v="0"/>
    <x v="2"/>
    <d v="2024-09-19T00:00:00"/>
    <s v="Thursday"/>
    <x v="2"/>
    <n v="284"/>
    <n v="12"/>
    <n v="371"/>
    <n v="591"/>
    <n v="152"/>
    <n v="58"/>
    <n v="3.1590296495956798"/>
    <s v="high"/>
    <n v="0"/>
  </r>
  <r>
    <n v="504"/>
    <x v="0"/>
    <x v="2"/>
    <d v="2024-10-15T00:00:00"/>
    <s v="Tuesday"/>
    <x v="11"/>
    <n v="266"/>
    <n v="5"/>
    <n v="202"/>
    <n v="741"/>
    <n v="292"/>
    <n v="88"/>
    <n v="6.5495049504950398"/>
    <s v="high"/>
    <n v="0"/>
  </r>
  <r>
    <n v="505"/>
    <x v="0"/>
    <x v="1"/>
    <d v="2024-04-22T00:00:00"/>
    <s v="Monday"/>
    <x v="12"/>
    <n v="155"/>
    <n v="5"/>
    <n v="3415"/>
    <n v="620"/>
    <n v="148"/>
    <n v="597"/>
    <n v="1.3997071742313301"/>
    <s v="low"/>
    <n v="0"/>
  </r>
  <r>
    <n v="506"/>
    <x v="1"/>
    <x v="2"/>
    <d v="2024-06-24T00:00:00"/>
    <s v="Monday"/>
    <x v="9"/>
    <n v="75"/>
    <n v="0"/>
    <n v="3764"/>
    <n v="615"/>
    <n v="72"/>
    <n v="236"/>
    <n v="1.2452178533475"/>
    <s v="low"/>
    <n v="0"/>
  </r>
  <r>
    <n v="507"/>
    <x v="2"/>
    <x v="0"/>
    <d v="2024-04-13T00:00:00"/>
    <s v="Saturday"/>
    <x v="2"/>
    <n v="263"/>
    <n v="19"/>
    <n v="4332"/>
    <n v="521"/>
    <n v="431"/>
    <n v="154"/>
    <n v="1.2553093259464401"/>
    <s v="low"/>
    <n v="0"/>
  </r>
  <r>
    <n v="508"/>
    <x v="1"/>
    <x v="1"/>
    <d v="2024-01-20T00:00:00"/>
    <s v="Saturday"/>
    <x v="9"/>
    <n v="296"/>
    <n v="0"/>
    <n v="4403"/>
    <n v="520"/>
    <n v="122"/>
    <n v="96"/>
    <n v="1.1676129911424"/>
    <s v="low"/>
    <n v="0"/>
  </r>
  <r>
    <n v="509"/>
    <x v="2"/>
    <x v="1"/>
    <d v="2024-08-08T00:00:00"/>
    <s v="Thursday"/>
    <x v="8"/>
    <n v="137"/>
    <n v="15"/>
    <n v="4326"/>
    <n v="435"/>
    <n v="381"/>
    <n v="45"/>
    <n v="1.1990291262135899"/>
    <s v="low"/>
    <n v="0"/>
  </r>
  <r>
    <n v="510"/>
    <x v="1"/>
    <x v="0"/>
    <d v="2024-07-14T00:00:00"/>
    <s v="Sunday"/>
    <x v="15"/>
    <n v="264"/>
    <n v="7"/>
    <n v="2921"/>
    <n v="608"/>
    <n v="591"/>
    <n v="101"/>
    <n v="1.4450530640191701"/>
    <s v="low"/>
    <n v="0"/>
  </r>
  <r>
    <n v="511"/>
    <x v="1"/>
    <x v="0"/>
    <d v="2024-02-12T00:00:00"/>
    <s v="Monday"/>
    <x v="1"/>
    <n v="23"/>
    <n v="18"/>
    <n v="2370"/>
    <n v="617"/>
    <n v="558"/>
    <n v="419"/>
    <n v="1.6725738396624401"/>
    <s v="average"/>
    <n v="0"/>
  </r>
  <r>
    <n v="512"/>
    <x v="2"/>
    <x v="0"/>
    <d v="2024-09-24T00:00:00"/>
    <s v="Tuesday"/>
    <x v="6"/>
    <n v="229"/>
    <n v="11"/>
    <n v="1015"/>
    <n v="537"/>
    <n v="9"/>
    <n v="385"/>
    <n v="1.91724137931034"/>
    <s v="average"/>
    <n v="0"/>
  </r>
  <r>
    <n v="513"/>
    <x v="2"/>
    <x v="2"/>
    <d v="2024-02-24T00:00:00"/>
    <s v="Saturday"/>
    <x v="5"/>
    <n v="161"/>
    <n v="12"/>
    <n v="1317"/>
    <n v="441"/>
    <n v="261"/>
    <n v="268"/>
    <n v="1.73652239939255"/>
    <s v="average"/>
    <n v="0"/>
  </r>
  <r>
    <n v="514"/>
    <x v="0"/>
    <x v="2"/>
    <d v="2024-04-14T00:00:00"/>
    <s v="Sunday"/>
    <x v="13"/>
    <n v="267"/>
    <n v="8"/>
    <n v="3435"/>
    <n v="570"/>
    <n v="572"/>
    <n v="495"/>
    <n v="1.4765647743813599"/>
    <s v="low"/>
    <n v="0"/>
  </r>
  <r>
    <n v="515"/>
    <x v="2"/>
    <x v="0"/>
    <d v="2024-06-06T00:00:00"/>
    <s v="Thursday"/>
    <x v="16"/>
    <n v="248"/>
    <n v="5"/>
    <n v="4782"/>
    <n v="357"/>
    <n v="409"/>
    <n v="142"/>
    <n v="1.1898787118360501"/>
    <s v="low"/>
    <n v="0"/>
  </r>
  <r>
    <n v="516"/>
    <x v="2"/>
    <x v="1"/>
    <d v="2024-02-21T00:00:00"/>
    <s v="Wednesday"/>
    <x v="14"/>
    <n v="102"/>
    <n v="12"/>
    <n v="1806"/>
    <n v="525"/>
    <n v="412"/>
    <n v="347"/>
    <n v="1.7109634551495001"/>
    <s v="average"/>
    <n v="0"/>
  </r>
  <r>
    <n v="517"/>
    <x v="1"/>
    <x v="0"/>
    <d v="2024-01-03T00:00:00"/>
    <s v="Wednesday"/>
    <x v="3"/>
    <n v="154"/>
    <n v="7"/>
    <n v="796"/>
    <n v="153"/>
    <n v="484"/>
    <n v="615"/>
    <n v="2.5728643216080398"/>
    <s v="high"/>
    <n v="0"/>
  </r>
  <r>
    <n v="518"/>
    <x v="1"/>
    <x v="1"/>
    <d v="2024-07-08T00:00:00"/>
    <s v="Monday"/>
    <x v="12"/>
    <n v="166"/>
    <n v="19"/>
    <n v="705"/>
    <n v="628"/>
    <n v="40"/>
    <n v="394"/>
    <n v="2.5063829787234"/>
    <s v="high"/>
    <n v="0"/>
  </r>
  <r>
    <n v="519"/>
    <x v="0"/>
    <x v="0"/>
    <d v="2024-01-30T00:00:00"/>
    <s v="Tuesday"/>
    <x v="12"/>
    <n v="166"/>
    <n v="6"/>
    <n v="1485"/>
    <n v="660"/>
    <n v="508"/>
    <n v="450"/>
    <n v="2.0895622895622799"/>
    <s v="average"/>
    <n v="0"/>
  </r>
  <r>
    <n v="520"/>
    <x v="2"/>
    <x v="0"/>
    <d v="2024-01-18T00:00:00"/>
    <s v="Thursday"/>
    <x v="14"/>
    <n v="204"/>
    <n v="7"/>
    <n v="4961"/>
    <n v="527"/>
    <n v="530"/>
    <n v="238"/>
    <n v="1.26103608143519"/>
    <s v="low"/>
    <n v="0"/>
  </r>
  <r>
    <n v="521"/>
    <x v="1"/>
    <x v="1"/>
    <d v="2024-01-01T00:00:00"/>
    <s v="Monday"/>
    <x v="7"/>
    <n v="227"/>
    <n v="18"/>
    <n v="1339"/>
    <n v="93"/>
    <n v="284"/>
    <n v="410"/>
    <n v="1.58775205377147"/>
    <s v="low"/>
    <n v="0"/>
  </r>
  <r>
    <n v="522"/>
    <x v="2"/>
    <x v="2"/>
    <d v="2024-04-12T00:00:00"/>
    <s v="Friday"/>
    <x v="13"/>
    <n v="198"/>
    <n v="11"/>
    <n v="4291"/>
    <n v="20"/>
    <n v="72"/>
    <n v="93"/>
    <n v="1.04311349335819"/>
    <s v="low"/>
    <n v="0"/>
  </r>
  <r>
    <n v="523"/>
    <x v="1"/>
    <x v="1"/>
    <d v="2024-05-21T00:00:00"/>
    <s v="Tuesday"/>
    <x v="1"/>
    <n v="153"/>
    <n v="5"/>
    <n v="1903"/>
    <n v="625"/>
    <n v="201"/>
    <n v="466"/>
    <n v="1.67892800840777"/>
    <s v="average"/>
    <n v="0"/>
  </r>
  <r>
    <n v="524"/>
    <x v="2"/>
    <x v="2"/>
    <d v="2024-07-27T00:00:00"/>
    <s v="Saturday"/>
    <x v="6"/>
    <n v="79"/>
    <n v="16"/>
    <n v="4197"/>
    <n v="114"/>
    <n v="574"/>
    <n v="75"/>
    <n v="1.1817965213247501"/>
    <s v="low"/>
    <n v="0"/>
  </r>
  <r>
    <n v="525"/>
    <x v="1"/>
    <x v="1"/>
    <d v="2024-05-11T00:00:00"/>
    <s v="Saturday"/>
    <x v="11"/>
    <n v="144"/>
    <n v="10"/>
    <n v="4456"/>
    <n v="593"/>
    <n v="258"/>
    <n v="454"/>
    <n v="1.2928635547576299"/>
    <s v="low"/>
    <n v="0"/>
  </r>
  <r>
    <n v="526"/>
    <x v="0"/>
    <x v="2"/>
    <d v="2024-08-22T00:00:00"/>
    <s v="Thursday"/>
    <x v="3"/>
    <n v="215"/>
    <n v="20"/>
    <n v="3824"/>
    <n v="605"/>
    <n v="30"/>
    <n v="494"/>
    <n v="1.2952405857740501"/>
    <s v="low"/>
    <n v="0"/>
  </r>
  <r>
    <n v="527"/>
    <x v="2"/>
    <x v="1"/>
    <d v="2024-04-22T00:00:00"/>
    <s v="Monday"/>
    <x v="1"/>
    <n v="154"/>
    <n v="7"/>
    <n v="1933"/>
    <n v="328"/>
    <n v="424"/>
    <n v="362"/>
    <n v="1.57630625969994"/>
    <s v="low"/>
    <n v="0"/>
  </r>
  <r>
    <n v="528"/>
    <x v="2"/>
    <x v="0"/>
    <d v="2024-05-27T00:00:00"/>
    <s v="Monday"/>
    <x v="11"/>
    <n v="180"/>
    <n v="11"/>
    <n v="811"/>
    <n v="413"/>
    <n v="352"/>
    <n v="78"/>
    <n v="2.0394574599260098"/>
    <s v="average"/>
    <n v="0"/>
  </r>
  <r>
    <n v="529"/>
    <x v="0"/>
    <x v="2"/>
    <d v="2024-04-21T00:00:00"/>
    <s v="Sunday"/>
    <x v="10"/>
    <n v="140"/>
    <n v="7"/>
    <n v="4749"/>
    <n v="280"/>
    <n v="189"/>
    <n v="700"/>
    <n v="1.2461570857022499"/>
    <s v="low"/>
    <n v="0"/>
  </r>
  <r>
    <n v="530"/>
    <x v="2"/>
    <x v="2"/>
    <d v="2024-05-15T00:00:00"/>
    <s v="Wednesday"/>
    <x v="9"/>
    <n v="74"/>
    <n v="3"/>
    <n v="1743"/>
    <n v="239"/>
    <n v="209"/>
    <n v="256"/>
    <n v="1.40390131956397"/>
    <s v="low"/>
    <n v="0"/>
  </r>
  <r>
    <n v="531"/>
    <x v="0"/>
    <x v="2"/>
    <d v="2024-02-10T00:00:00"/>
    <s v="Saturday"/>
    <x v="5"/>
    <n v="181"/>
    <n v="15"/>
    <n v="4085"/>
    <n v="633"/>
    <n v="8"/>
    <n v="555"/>
    <n v="1.29277845777233"/>
    <s v="low"/>
    <n v="0"/>
  </r>
  <r>
    <n v="532"/>
    <x v="1"/>
    <x v="2"/>
    <d v="2024-10-21T00:00:00"/>
    <s v="Monday"/>
    <x v="16"/>
    <n v="85"/>
    <n v="1"/>
    <n v="2300"/>
    <n v="507"/>
    <n v="189"/>
    <n v="524"/>
    <n v="1.5304347826086899"/>
    <s v="low"/>
    <n v="0"/>
  </r>
  <r>
    <n v="533"/>
    <x v="2"/>
    <x v="2"/>
    <d v="2024-09-26T00:00:00"/>
    <s v="Thursday"/>
    <x v="7"/>
    <n v="109"/>
    <n v="14"/>
    <n v="3516"/>
    <n v="494"/>
    <n v="555"/>
    <n v="34"/>
    <n v="1.3080204778156901"/>
    <s v="low"/>
    <n v="0"/>
  </r>
  <r>
    <n v="534"/>
    <x v="0"/>
    <x v="1"/>
    <d v="2024-03-02T00:00:00"/>
    <s v="Saturday"/>
    <x v="10"/>
    <n v="214"/>
    <n v="18"/>
    <n v="4295"/>
    <n v="476"/>
    <n v="325"/>
    <n v="9"/>
    <n v="1.18859138533178"/>
    <s v="low"/>
    <n v="0"/>
  </r>
  <r>
    <n v="535"/>
    <x v="2"/>
    <x v="2"/>
    <d v="2024-02-21T00:00:00"/>
    <s v="Wednesday"/>
    <x v="16"/>
    <n v="157"/>
    <n v="15"/>
    <n v="2715"/>
    <n v="375"/>
    <n v="267"/>
    <n v="192"/>
    <n v="1.3071823204419799"/>
    <s v="low"/>
    <n v="0"/>
  </r>
  <r>
    <n v="536"/>
    <x v="0"/>
    <x v="2"/>
    <d v="2024-06-24T00:00:00"/>
    <s v="Monday"/>
    <x v="5"/>
    <n v="206"/>
    <n v="12"/>
    <n v="3047"/>
    <n v="193"/>
    <n v="512"/>
    <n v="435"/>
    <n v="1.3741384968821699"/>
    <s v="low"/>
    <n v="0"/>
  </r>
  <r>
    <n v="537"/>
    <x v="2"/>
    <x v="1"/>
    <d v="2024-05-23T00:00:00"/>
    <s v="Thursday"/>
    <x v="16"/>
    <n v="71"/>
    <n v="8"/>
    <n v="3742"/>
    <n v="189"/>
    <n v="587"/>
    <n v="135"/>
    <n v="1.2434526990913899"/>
    <s v="low"/>
    <n v="0"/>
  </r>
  <r>
    <n v="538"/>
    <x v="0"/>
    <x v="1"/>
    <d v="2024-04-30T00:00:00"/>
    <s v="Tuesday"/>
    <x v="9"/>
    <n v="262"/>
    <n v="0"/>
    <n v="4599"/>
    <n v="447"/>
    <n v="392"/>
    <n v="201"/>
    <n v="1.2261361165470701"/>
    <s v="low"/>
    <n v="0"/>
  </r>
  <r>
    <n v="539"/>
    <x v="2"/>
    <x v="1"/>
    <d v="2024-03-31T00:00:00"/>
    <s v="Sunday"/>
    <x v="6"/>
    <n v="269"/>
    <n v="9"/>
    <n v="3503"/>
    <n v="516"/>
    <n v="139"/>
    <n v="646"/>
    <n v="1.37139594633171"/>
    <s v="low"/>
    <n v="0"/>
  </r>
  <r>
    <n v="540"/>
    <x v="0"/>
    <x v="1"/>
    <d v="2024-05-08T00:00:00"/>
    <s v="Wednesday"/>
    <x v="2"/>
    <n v="50"/>
    <n v="6"/>
    <n v="4655"/>
    <n v="586"/>
    <n v="50"/>
    <n v="408"/>
    <n v="1.2242749731471501"/>
    <s v="low"/>
    <n v="0"/>
  </r>
  <r>
    <n v="541"/>
    <x v="2"/>
    <x v="2"/>
    <d v="2024-05-10T00:00:00"/>
    <s v="Friday"/>
    <x v="15"/>
    <n v="204"/>
    <n v="11"/>
    <n v="3953"/>
    <n v="649"/>
    <n v="100"/>
    <n v="461"/>
    <n v="1.30609663546673"/>
    <s v="low"/>
    <n v="0"/>
  </r>
  <r>
    <n v="542"/>
    <x v="1"/>
    <x v="0"/>
    <d v="2024-10-13T00:00:00"/>
    <s v="Sunday"/>
    <x v="5"/>
    <n v="121"/>
    <n v="18"/>
    <n v="4616"/>
    <n v="268"/>
    <n v="354"/>
    <n v="21"/>
    <n v="1.1392980935875201"/>
    <s v="low"/>
    <n v="0"/>
  </r>
  <r>
    <n v="543"/>
    <x v="1"/>
    <x v="1"/>
    <d v="2024-10-21T00:00:00"/>
    <s v="Monday"/>
    <x v="12"/>
    <n v="269"/>
    <n v="14"/>
    <n v="4460"/>
    <n v="183"/>
    <n v="293"/>
    <n v="364"/>
    <n v="1.18834080717488"/>
    <s v="low"/>
    <n v="0"/>
  </r>
  <r>
    <n v="544"/>
    <x v="2"/>
    <x v="0"/>
    <d v="2024-02-10T00:00:00"/>
    <s v="Saturday"/>
    <x v="2"/>
    <n v="192"/>
    <n v="13"/>
    <n v="3171"/>
    <n v="633"/>
    <n v="295"/>
    <n v="475"/>
    <n v="1.44244717754651"/>
    <s v="low"/>
    <n v="0"/>
  </r>
  <r>
    <n v="545"/>
    <x v="1"/>
    <x v="0"/>
    <d v="2024-10-19T00:00:00"/>
    <s v="Saturday"/>
    <x v="6"/>
    <n v="182"/>
    <n v="20"/>
    <n v="3365"/>
    <n v="78"/>
    <n v="83"/>
    <n v="166"/>
    <n v="1.0971768202080201"/>
    <s v="low"/>
    <n v="0"/>
  </r>
  <r>
    <n v="546"/>
    <x v="1"/>
    <x v="2"/>
    <d v="2024-05-29T00:00:00"/>
    <s v="Wednesday"/>
    <x v="12"/>
    <n v="250"/>
    <n v="13"/>
    <n v="2241"/>
    <n v="624"/>
    <n v="406"/>
    <n v="278"/>
    <n v="1.5836680053547501"/>
    <s v="low"/>
    <n v="0"/>
  </r>
  <r>
    <n v="547"/>
    <x v="2"/>
    <x v="2"/>
    <d v="2024-03-26T00:00:00"/>
    <s v="Tuesday"/>
    <x v="3"/>
    <n v="127"/>
    <n v="5"/>
    <n v="1556"/>
    <n v="28"/>
    <n v="130"/>
    <n v="241"/>
    <n v="1.2564267352184999"/>
    <s v="low"/>
    <n v="0"/>
  </r>
  <r>
    <n v="548"/>
    <x v="2"/>
    <x v="0"/>
    <d v="2024-07-22T00:00:00"/>
    <s v="Monday"/>
    <x v="1"/>
    <n v="223"/>
    <n v="16"/>
    <n v="893"/>
    <n v="102"/>
    <n v="67"/>
    <n v="485"/>
    <n v="1.7323628219484799"/>
    <s v="average"/>
    <n v="0"/>
  </r>
  <r>
    <n v="549"/>
    <x v="2"/>
    <x v="2"/>
    <d v="2024-02-12T00:00:00"/>
    <s v="Monday"/>
    <x v="4"/>
    <n v="137"/>
    <n v="7"/>
    <n v="901"/>
    <n v="273"/>
    <n v="161"/>
    <n v="87"/>
    <n v="1.57824639289678"/>
    <s v="low"/>
    <n v="0"/>
  </r>
  <r>
    <n v="550"/>
    <x v="2"/>
    <x v="0"/>
    <d v="2024-05-25T00:00:00"/>
    <s v="Saturday"/>
    <x v="1"/>
    <n v="37"/>
    <n v="11"/>
    <n v="3680"/>
    <n v="646"/>
    <n v="131"/>
    <n v="135"/>
    <n v="1.2478260869565201"/>
    <s v="low"/>
    <n v="0"/>
  </r>
  <r>
    <n v="551"/>
    <x v="2"/>
    <x v="2"/>
    <d v="2024-06-15T00:00:00"/>
    <s v="Saturday"/>
    <x v="9"/>
    <n v="296"/>
    <n v="5"/>
    <n v="3950"/>
    <n v="483"/>
    <n v="555"/>
    <n v="279"/>
    <n v="1.33341772151898"/>
    <s v="low"/>
    <n v="0"/>
  </r>
  <r>
    <n v="552"/>
    <x v="2"/>
    <x v="1"/>
    <d v="2024-08-21T00:00:00"/>
    <s v="Wednesday"/>
    <x v="4"/>
    <n v="197"/>
    <n v="15"/>
    <n v="4670"/>
    <n v="450"/>
    <n v="538"/>
    <n v="656"/>
    <n v="1.35203426124197"/>
    <s v="low"/>
    <n v="0"/>
  </r>
  <r>
    <n v="553"/>
    <x v="1"/>
    <x v="2"/>
    <d v="2024-10-03T00:00:00"/>
    <s v="Thursday"/>
    <x v="15"/>
    <n v="99"/>
    <n v="9"/>
    <n v="1910"/>
    <n v="96"/>
    <n v="454"/>
    <n v="316"/>
    <n v="1.45340314136125"/>
    <s v="low"/>
    <n v="0"/>
  </r>
  <r>
    <n v="554"/>
    <x v="1"/>
    <x v="2"/>
    <d v="2024-01-06T00:00:00"/>
    <s v="Saturday"/>
    <x v="13"/>
    <n v="24"/>
    <n v="15"/>
    <n v="50"/>
    <n v="540"/>
    <n v="141"/>
    <n v="353"/>
    <n v="21.68"/>
    <s v="high"/>
    <n v="0"/>
  </r>
  <r>
    <n v="555"/>
    <x v="2"/>
    <x v="0"/>
    <d v="2024-09-01T00:00:00"/>
    <s v="Sunday"/>
    <x v="1"/>
    <n v="300"/>
    <n v="11"/>
    <n v="2504"/>
    <n v="14"/>
    <n v="442"/>
    <n v="300"/>
    <n v="1.3019169329073399"/>
    <s v="low"/>
    <n v="0"/>
  </r>
  <r>
    <n v="556"/>
    <x v="0"/>
    <x v="0"/>
    <d v="2024-04-06T00:00:00"/>
    <s v="Saturday"/>
    <x v="7"/>
    <n v="213"/>
    <n v="7"/>
    <n v="3422"/>
    <n v="579"/>
    <n v="449"/>
    <n v="405"/>
    <n v="1.4187609585037899"/>
    <s v="low"/>
    <n v="0"/>
  </r>
  <r>
    <n v="557"/>
    <x v="2"/>
    <x v="1"/>
    <d v="2024-05-14T00:00:00"/>
    <s v="Tuesday"/>
    <x v="15"/>
    <n v="165"/>
    <n v="20"/>
    <n v="698"/>
    <n v="437"/>
    <n v="247"/>
    <n v="530"/>
    <n v="2.7392550143266399"/>
    <s v="high"/>
    <n v="0"/>
  </r>
  <r>
    <n v="558"/>
    <x v="0"/>
    <x v="0"/>
    <d v="2024-09-29T00:00:00"/>
    <s v="Sunday"/>
    <x v="4"/>
    <n v="76"/>
    <n v="20"/>
    <n v="2252"/>
    <n v="427"/>
    <n v="194"/>
    <n v="71"/>
    <n v="1.30728241563055"/>
    <s v="low"/>
    <n v="0"/>
  </r>
  <r>
    <n v="559"/>
    <x v="1"/>
    <x v="0"/>
    <d v="2024-08-21T00:00:00"/>
    <s v="Wednesday"/>
    <x v="9"/>
    <n v="45"/>
    <n v="17"/>
    <n v="3759"/>
    <n v="283"/>
    <n v="505"/>
    <n v="193"/>
    <n v="1.2609736632083"/>
    <s v="low"/>
    <n v="0"/>
  </r>
  <r>
    <n v="560"/>
    <x v="0"/>
    <x v="1"/>
    <d v="2024-01-12T00:00:00"/>
    <s v="Friday"/>
    <x v="17"/>
    <n v="24"/>
    <n v="7"/>
    <n v="1573"/>
    <n v="109"/>
    <n v="290"/>
    <n v="276"/>
    <n v="1.42911633820724"/>
    <s v="low"/>
    <n v="0"/>
  </r>
  <r>
    <n v="561"/>
    <x v="1"/>
    <x v="2"/>
    <d v="2024-02-16T00:00:00"/>
    <s v="Friday"/>
    <x v="4"/>
    <n v="275"/>
    <n v="11"/>
    <n v="1284"/>
    <n v="20"/>
    <n v="507"/>
    <n v="223"/>
    <n v="1.58411214953271"/>
    <s v="low"/>
    <n v="0"/>
  </r>
  <r>
    <n v="562"/>
    <x v="0"/>
    <x v="2"/>
    <d v="2024-08-25T00:00:00"/>
    <s v="Sunday"/>
    <x v="7"/>
    <n v="56"/>
    <n v="17"/>
    <n v="309"/>
    <n v="343"/>
    <n v="84"/>
    <n v="150"/>
    <n v="2.8673139158576002"/>
    <s v="high"/>
    <n v="0"/>
  </r>
  <r>
    <n v="563"/>
    <x v="0"/>
    <x v="0"/>
    <d v="2024-08-28T00:00:00"/>
    <s v="Wednesday"/>
    <x v="16"/>
    <n v="217"/>
    <n v="14"/>
    <n v="1537"/>
    <n v="201"/>
    <n v="258"/>
    <n v="391"/>
    <n v="1.5530253741054001"/>
    <s v="low"/>
    <n v="0"/>
  </r>
  <r>
    <n v="564"/>
    <x v="2"/>
    <x v="1"/>
    <d v="2024-05-06T00:00:00"/>
    <s v="Monday"/>
    <x v="10"/>
    <n v="262"/>
    <n v="12"/>
    <n v="324"/>
    <n v="208"/>
    <n v="473"/>
    <n v="97"/>
    <n v="3.4012345679012301"/>
    <s v="high"/>
    <n v="0"/>
  </r>
  <r>
    <n v="565"/>
    <x v="2"/>
    <x v="0"/>
    <d v="2024-06-08T00:00:00"/>
    <s v="Saturday"/>
    <x v="15"/>
    <n v="266"/>
    <n v="20"/>
    <n v="2696"/>
    <n v="167"/>
    <n v="45"/>
    <n v="563"/>
    <n v="1.28746290801186"/>
    <s v="low"/>
    <n v="0"/>
  </r>
  <r>
    <n v="566"/>
    <x v="0"/>
    <x v="0"/>
    <d v="2024-06-01T00:00:00"/>
    <s v="Saturday"/>
    <x v="16"/>
    <n v="242"/>
    <n v="10"/>
    <n v="1677"/>
    <n v="374"/>
    <n v="55"/>
    <n v="683"/>
    <n v="1.6630888491353599"/>
    <s v="average"/>
    <n v="0"/>
  </r>
  <r>
    <n v="567"/>
    <x v="1"/>
    <x v="0"/>
    <d v="2024-01-08T00:00:00"/>
    <s v="Monday"/>
    <x v="1"/>
    <n v="41"/>
    <n v="18"/>
    <n v="1421"/>
    <n v="287"/>
    <n v="600"/>
    <n v="123"/>
    <n v="1.7107670654468601"/>
    <s v="average"/>
    <n v="0"/>
  </r>
  <r>
    <n v="568"/>
    <x v="0"/>
    <x v="0"/>
    <d v="2024-08-31T00:00:00"/>
    <s v="Saturday"/>
    <x v="11"/>
    <n v="66"/>
    <n v="19"/>
    <n v="4934"/>
    <n v="163"/>
    <n v="382"/>
    <n v="92"/>
    <n v="1.1291041751114701"/>
    <s v="low"/>
    <n v="0"/>
  </r>
  <r>
    <n v="569"/>
    <x v="0"/>
    <x v="1"/>
    <d v="2024-06-22T00:00:00"/>
    <s v="Saturday"/>
    <x v="13"/>
    <n v="74"/>
    <n v="4"/>
    <n v="541"/>
    <n v="66"/>
    <n v="366"/>
    <n v="661"/>
    <n v="3.0203327171903802"/>
    <s v="high"/>
    <n v="0"/>
  </r>
  <r>
    <n v="570"/>
    <x v="1"/>
    <x v="2"/>
    <d v="2024-09-06T00:00:00"/>
    <s v="Friday"/>
    <x v="10"/>
    <n v="30"/>
    <n v="12"/>
    <n v="1956"/>
    <n v="329"/>
    <n v="573"/>
    <n v="661"/>
    <n v="1.79907975460122"/>
    <s v="average"/>
    <n v="0"/>
  </r>
  <r>
    <n v="571"/>
    <x v="2"/>
    <x v="2"/>
    <d v="2024-07-02T00:00:00"/>
    <s v="Tuesday"/>
    <x v="13"/>
    <n v="170"/>
    <n v="17"/>
    <n v="1153"/>
    <n v="261"/>
    <n v="42"/>
    <n v="497"/>
    <n v="1.69384215091066"/>
    <s v="average"/>
    <n v="0"/>
  </r>
  <r>
    <n v="572"/>
    <x v="1"/>
    <x v="2"/>
    <d v="2024-09-07T00:00:00"/>
    <s v="Saturday"/>
    <x v="17"/>
    <n v="160"/>
    <n v="19"/>
    <n v="1604"/>
    <n v="585"/>
    <n v="193"/>
    <n v="557"/>
    <n v="1.83229426433915"/>
    <s v="average"/>
    <n v="0"/>
  </r>
  <r>
    <n v="573"/>
    <x v="1"/>
    <x v="2"/>
    <d v="2024-10-10T00:00:00"/>
    <s v="Thursday"/>
    <x v="15"/>
    <n v="297"/>
    <n v="11"/>
    <n v="1363"/>
    <n v="75"/>
    <n v="545"/>
    <n v="159"/>
    <n v="1.5715333822450399"/>
    <s v="low"/>
    <n v="0"/>
  </r>
  <r>
    <n v="574"/>
    <x v="2"/>
    <x v="0"/>
    <d v="2024-08-20T00:00:00"/>
    <s v="Tuesday"/>
    <x v="1"/>
    <n v="206"/>
    <n v="19"/>
    <n v="55"/>
    <n v="799"/>
    <n v="520"/>
    <n v="389"/>
    <n v="32.054545454545398"/>
    <s v="high"/>
    <n v="0"/>
  </r>
  <r>
    <n v="575"/>
    <x v="2"/>
    <x v="2"/>
    <d v="2024-05-02T00:00:00"/>
    <s v="Thursday"/>
    <x v="10"/>
    <n v="288"/>
    <n v="15"/>
    <n v="2677"/>
    <n v="743"/>
    <n v="66"/>
    <n v="675"/>
    <n v="1.5543518864400401"/>
    <s v="low"/>
    <n v="0"/>
  </r>
  <r>
    <n v="576"/>
    <x v="1"/>
    <x v="1"/>
    <d v="2024-10-09T00:00:00"/>
    <s v="Wednesday"/>
    <x v="6"/>
    <n v="76"/>
    <n v="3"/>
    <n v="1312"/>
    <n v="632"/>
    <n v="291"/>
    <n v="331"/>
    <n v="1.95579268292682"/>
    <s v="average"/>
    <n v="0"/>
  </r>
  <r>
    <n v="577"/>
    <x v="0"/>
    <x v="0"/>
    <d v="2024-09-24T00:00:00"/>
    <s v="Tuesday"/>
    <x v="0"/>
    <n v="268"/>
    <n v="6"/>
    <n v="596"/>
    <n v="49"/>
    <n v="134"/>
    <n v="183"/>
    <n v="1.61409395973154"/>
    <s v="average"/>
    <n v="0"/>
  </r>
  <r>
    <n v="578"/>
    <x v="1"/>
    <x v="1"/>
    <d v="2024-02-20T00:00:00"/>
    <s v="Tuesday"/>
    <x v="15"/>
    <n v="45"/>
    <n v="11"/>
    <n v="310"/>
    <n v="589"/>
    <n v="399"/>
    <n v="674"/>
    <n v="6.3612903225806399"/>
    <s v="high"/>
    <n v="0"/>
  </r>
  <r>
    <n v="579"/>
    <x v="1"/>
    <x v="0"/>
    <d v="2024-04-23T00:00:00"/>
    <s v="Tuesday"/>
    <x v="17"/>
    <n v="51"/>
    <n v="11"/>
    <n v="630"/>
    <n v="18"/>
    <n v="215"/>
    <n v="672"/>
    <n v="2.4365079365079301"/>
    <s v="high"/>
    <n v="0"/>
  </r>
  <r>
    <n v="580"/>
    <x v="1"/>
    <x v="1"/>
    <d v="2024-10-12T00:00:00"/>
    <s v="Saturday"/>
    <x v="14"/>
    <n v="56"/>
    <n v="9"/>
    <n v="3457"/>
    <n v="382"/>
    <n v="61"/>
    <n v="632"/>
    <n v="1.3109632629447501"/>
    <s v="low"/>
    <n v="0"/>
  </r>
  <r>
    <n v="581"/>
    <x v="2"/>
    <x v="0"/>
    <d v="2024-02-09T00:00:00"/>
    <s v="Friday"/>
    <x v="13"/>
    <n v="217"/>
    <n v="6"/>
    <n v="1818"/>
    <n v="536"/>
    <n v="101"/>
    <n v="104"/>
    <n v="1.4075907590759"/>
    <s v="low"/>
    <n v="0"/>
  </r>
  <r>
    <n v="582"/>
    <x v="2"/>
    <x v="0"/>
    <d v="2024-04-08T00:00:00"/>
    <s v="Monday"/>
    <x v="13"/>
    <n v="232"/>
    <n v="3"/>
    <n v="4360"/>
    <n v="677"/>
    <n v="256"/>
    <n v="584"/>
    <n v="1.3479357798165099"/>
    <s v="low"/>
    <n v="0"/>
  </r>
  <r>
    <n v="583"/>
    <x v="1"/>
    <x v="0"/>
    <d v="2024-10-22T00:00:00"/>
    <s v="Tuesday"/>
    <x v="2"/>
    <n v="112"/>
    <n v="17"/>
    <n v="2982"/>
    <n v="695"/>
    <n v="471"/>
    <n v="682"/>
    <n v="1.6197183098591501"/>
    <s v="average"/>
    <n v="0"/>
  </r>
  <r>
    <n v="584"/>
    <x v="2"/>
    <x v="2"/>
    <d v="2024-07-24T00:00:00"/>
    <s v="Wednesday"/>
    <x v="5"/>
    <n v="181"/>
    <n v="17"/>
    <n v="4184"/>
    <n v="350"/>
    <n v="163"/>
    <n v="547"/>
    <n v="1.25334608030592"/>
    <s v="low"/>
    <n v="0"/>
  </r>
  <r>
    <n v="585"/>
    <x v="2"/>
    <x v="0"/>
    <d v="2024-06-15T00:00:00"/>
    <s v="Saturday"/>
    <x v="13"/>
    <n v="129"/>
    <n v="12"/>
    <n v="3095"/>
    <n v="427"/>
    <n v="442"/>
    <n v="332"/>
    <n v="1.3880452342487799"/>
    <s v="low"/>
    <n v="0"/>
  </r>
  <r>
    <n v="586"/>
    <x v="1"/>
    <x v="0"/>
    <d v="2024-10-08T00:00:00"/>
    <s v="Tuesday"/>
    <x v="14"/>
    <n v="165"/>
    <n v="19"/>
    <n v="2131"/>
    <n v="373"/>
    <n v="465"/>
    <n v="459"/>
    <n v="1.60863444392304"/>
    <s v="average"/>
    <n v="0"/>
  </r>
  <r>
    <n v="587"/>
    <x v="1"/>
    <x v="0"/>
    <d v="2024-01-09T00:00:00"/>
    <s v="Tuesday"/>
    <x v="10"/>
    <n v="181"/>
    <n v="0"/>
    <n v="4290"/>
    <n v="143"/>
    <n v="311"/>
    <n v="7"/>
    <n v="1.1074592074592"/>
    <s v="low"/>
    <n v="0"/>
  </r>
  <r>
    <n v="588"/>
    <x v="2"/>
    <x v="0"/>
    <d v="2024-05-21T00:00:00"/>
    <s v="Tuesday"/>
    <x v="0"/>
    <n v="39"/>
    <n v="14"/>
    <n v="4585"/>
    <n v="528"/>
    <n v="571"/>
    <n v="585"/>
    <n v="1.3672846237731699"/>
    <s v="low"/>
    <n v="0"/>
  </r>
  <r>
    <n v="589"/>
    <x v="2"/>
    <x v="0"/>
    <d v="2024-07-01T00:00:00"/>
    <s v="Monday"/>
    <x v="16"/>
    <n v="151"/>
    <n v="9"/>
    <n v="1328"/>
    <n v="146"/>
    <n v="273"/>
    <n v="376"/>
    <n v="1.5986445783132499"/>
    <s v="low"/>
    <n v="0"/>
  </r>
  <r>
    <n v="590"/>
    <x v="2"/>
    <x v="0"/>
    <d v="2024-02-17T00:00:00"/>
    <s v="Saturday"/>
    <x v="6"/>
    <n v="267"/>
    <n v="5"/>
    <n v="4723"/>
    <n v="414"/>
    <n v="584"/>
    <n v="223"/>
    <n v="1.2585221257675201"/>
    <s v="low"/>
    <n v="0"/>
  </r>
  <r>
    <n v="591"/>
    <x v="2"/>
    <x v="1"/>
    <d v="2024-09-06T00:00:00"/>
    <s v="Friday"/>
    <x v="7"/>
    <n v="60"/>
    <n v="1"/>
    <n v="4770"/>
    <n v="102"/>
    <n v="309"/>
    <n v="39"/>
    <n v="1.0943396226415001"/>
    <s v="low"/>
    <n v="0"/>
  </r>
  <r>
    <n v="592"/>
    <x v="0"/>
    <x v="1"/>
    <d v="2024-06-20T00:00:00"/>
    <s v="Thursday"/>
    <x v="1"/>
    <n v="215"/>
    <n v="1"/>
    <n v="2900"/>
    <n v="449"/>
    <n v="428"/>
    <n v="124"/>
    <n v="1.3451724137931"/>
    <s v="low"/>
    <n v="0"/>
  </r>
  <r>
    <n v="593"/>
    <x v="2"/>
    <x v="0"/>
    <d v="2024-06-05T00:00:00"/>
    <s v="Wednesday"/>
    <x v="6"/>
    <n v="277"/>
    <n v="7"/>
    <n v="4345"/>
    <n v="47"/>
    <n v="328"/>
    <n v="553"/>
    <n v="1.2135788262370499"/>
    <s v="low"/>
    <n v="0"/>
  </r>
  <r>
    <n v="594"/>
    <x v="2"/>
    <x v="1"/>
    <d v="2024-03-19T00:00:00"/>
    <s v="Tuesday"/>
    <x v="12"/>
    <n v="66"/>
    <n v="7"/>
    <n v="463"/>
    <n v="694"/>
    <n v="404"/>
    <n v="457"/>
    <n v="4.3585313174945997"/>
    <s v="high"/>
    <n v="0"/>
  </r>
  <r>
    <n v="595"/>
    <x v="1"/>
    <x v="0"/>
    <d v="2024-08-09T00:00:00"/>
    <s v="Friday"/>
    <x v="11"/>
    <n v="45"/>
    <n v="17"/>
    <n v="2423"/>
    <n v="408"/>
    <n v="153"/>
    <n v="136"/>
    <n v="1.2876599257119199"/>
    <s v="low"/>
    <n v="0"/>
  </r>
  <r>
    <n v="596"/>
    <x v="1"/>
    <x v="1"/>
    <d v="2024-07-23T00:00:00"/>
    <s v="Tuesday"/>
    <x v="9"/>
    <n v="89"/>
    <n v="15"/>
    <n v="2200"/>
    <n v="92"/>
    <n v="410"/>
    <n v="514"/>
    <n v="1.4618181818181799"/>
    <s v="low"/>
    <n v="0"/>
  </r>
  <r>
    <n v="597"/>
    <x v="2"/>
    <x v="0"/>
    <d v="2024-10-13T00:00:00"/>
    <s v="Sunday"/>
    <x v="13"/>
    <n v="288"/>
    <n v="7"/>
    <n v="1672"/>
    <n v="504"/>
    <n v="406"/>
    <n v="668"/>
    <n v="1.9437799043062201"/>
    <s v="average"/>
    <n v="0"/>
  </r>
  <r>
    <n v="598"/>
    <x v="2"/>
    <x v="1"/>
    <d v="2024-05-04T00:00:00"/>
    <s v="Saturday"/>
    <x v="3"/>
    <n v="77"/>
    <n v="13"/>
    <n v="636"/>
    <n v="277"/>
    <n v="442"/>
    <n v="332"/>
    <n v="2.6525157232704402"/>
    <s v="high"/>
    <n v="0"/>
  </r>
  <r>
    <n v="599"/>
    <x v="1"/>
    <x v="1"/>
    <d v="2024-08-04T00:00:00"/>
    <s v="Sunday"/>
    <x v="1"/>
    <n v="176"/>
    <n v="5"/>
    <n v="3042"/>
    <n v="361"/>
    <n v="197"/>
    <n v="329"/>
    <n v="1.29158448389217"/>
    <s v="low"/>
    <n v="0"/>
  </r>
  <r>
    <n v="600"/>
    <x v="0"/>
    <x v="0"/>
    <d v="2024-06-28T00:00:00"/>
    <s v="Friday"/>
    <x v="10"/>
    <n v="211"/>
    <n v="4"/>
    <n v="3672"/>
    <n v="643"/>
    <n v="151"/>
    <n v="452"/>
    <n v="1.3393246187363801"/>
    <s v="low"/>
    <n v="0"/>
  </r>
  <r>
    <n v="601"/>
    <x v="2"/>
    <x v="0"/>
    <d v="2024-02-13T00:00:00"/>
    <s v="Tuesday"/>
    <x v="4"/>
    <n v="27"/>
    <n v="10"/>
    <n v="970"/>
    <n v="762"/>
    <n v="57"/>
    <n v="249"/>
    <n v="2.1010309278350499"/>
    <s v="average"/>
    <n v="0"/>
  </r>
  <r>
    <n v="602"/>
    <x v="1"/>
    <x v="0"/>
    <d v="2024-02-26T00:00:00"/>
    <s v="Monday"/>
    <x v="13"/>
    <n v="128"/>
    <n v="6"/>
    <n v="2549"/>
    <n v="465"/>
    <n v="484"/>
    <n v="24"/>
    <n v="1.38171832091016"/>
    <s v="low"/>
    <n v="0"/>
  </r>
  <r>
    <n v="603"/>
    <x v="1"/>
    <x v="1"/>
    <d v="2024-10-06T00:00:00"/>
    <s v="Sunday"/>
    <x v="9"/>
    <n v="29"/>
    <n v="12"/>
    <n v="4336"/>
    <n v="773"/>
    <n v="266"/>
    <n v="562"/>
    <n v="1.36923431734317"/>
    <s v="low"/>
    <n v="0"/>
  </r>
  <r>
    <n v="604"/>
    <x v="0"/>
    <x v="2"/>
    <d v="2024-10-25T00:00:00"/>
    <s v="Friday"/>
    <x v="10"/>
    <n v="158"/>
    <n v="1"/>
    <n v="4365"/>
    <n v="49"/>
    <n v="263"/>
    <n v="175"/>
    <n v="1.1115693012600201"/>
    <s v="low"/>
    <n v="0"/>
  </r>
  <r>
    <n v="605"/>
    <x v="1"/>
    <x v="1"/>
    <d v="2024-08-26T00:00:00"/>
    <s v="Monday"/>
    <x v="5"/>
    <n v="75"/>
    <n v="0"/>
    <n v="118"/>
    <n v="73"/>
    <n v="399"/>
    <n v="677"/>
    <n v="10.7372881355932"/>
    <s v="high"/>
    <n v="0"/>
  </r>
  <r>
    <n v="606"/>
    <x v="2"/>
    <x v="0"/>
    <d v="2024-05-29T00:00:00"/>
    <s v="Wednesday"/>
    <x v="6"/>
    <n v="268"/>
    <n v="19"/>
    <n v="3216"/>
    <n v="241"/>
    <n v="391"/>
    <n v="521"/>
    <n v="1.3585199004975099"/>
    <s v="low"/>
    <n v="0"/>
  </r>
  <r>
    <n v="607"/>
    <x v="1"/>
    <x v="1"/>
    <d v="2024-09-29T00:00:00"/>
    <s v="Sunday"/>
    <x v="1"/>
    <n v="40"/>
    <n v="7"/>
    <n v="771"/>
    <n v="195"/>
    <n v="205"/>
    <n v="513"/>
    <n v="2.1841763942931198"/>
    <s v="average"/>
    <n v="0"/>
  </r>
  <r>
    <n v="608"/>
    <x v="2"/>
    <x v="0"/>
    <d v="2024-09-28T00:00:00"/>
    <s v="Saturday"/>
    <x v="1"/>
    <n v="197"/>
    <n v="11"/>
    <n v="2547"/>
    <n v="346"/>
    <n v="503"/>
    <n v="403"/>
    <n v="1.49155869650569"/>
    <s v="low"/>
    <n v="0"/>
  </r>
  <r>
    <n v="609"/>
    <x v="0"/>
    <x v="1"/>
    <d v="2024-06-30T00:00:00"/>
    <s v="Sunday"/>
    <x v="15"/>
    <n v="218"/>
    <n v="0"/>
    <n v="2526"/>
    <n v="246"/>
    <n v="515"/>
    <n v="283"/>
    <n v="1.4133016627078301"/>
    <s v="low"/>
    <n v="0"/>
  </r>
  <r>
    <n v="610"/>
    <x v="1"/>
    <x v="1"/>
    <d v="2024-10-11T00:00:00"/>
    <s v="Friday"/>
    <x v="9"/>
    <n v="64"/>
    <n v="12"/>
    <n v="2345"/>
    <n v="235"/>
    <n v="157"/>
    <n v="350"/>
    <n v="1.31641791044776"/>
    <s v="low"/>
    <n v="0"/>
  </r>
  <r>
    <n v="611"/>
    <x v="0"/>
    <x v="2"/>
    <d v="2024-09-23T00:00:00"/>
    <s v="Monday"/>
    <x v="4"/>
    <n v="188"/>
    <n v="14"/>
    <n v="1913"/>
    <n v="432"/>
    <n v="248"/>
    <n v="587"/>
    <n v="1.6623105070569699"/>
    <s v="average"/>
    <n v="0"/>
  </r>
  <r>
    <n v="612"/>
    <x v="2"/>
    <x v="1"/>
    <d v="2024-10-04T00:00:00"/>
    <s v="Friday"/>
    <x v="10"/>
    <n v="90"/>
    <n v="9"/>
    <n v="1129"/>
    <n v="216"/>
    <n v="143"/>
    <n v="595"/>
    <n v="1.8449955713020301"/>
    <s v="average"/>
    <n v="0"/>
  </r>
  <r>
    <n v="613"/>
    <x v="2"/>
    <x v="0"/>
    <d v="2024-09-25T00:00:00"/>
    <s v="Wednesday"/>
    <x v="6"/>
    <n v="54"/>
    <n v="17"/>
    <n v="1157"/>
    <n v="445"/>
    <n v="150"/>
    <n v="672"/>
    <n v="2.0950734658599801"/>
    <s v="average"/>
    <n v="0"/>
  </r>
  <r>
    <n v="614"/>
    <x v="2"/>
    <x v="0"/>
    <d v="2024-09-29T00:00:00"/>
    <s v="Sunday"/>
    <x v="6"/>
    <n v="231"/>
    <n v="13"/>
    <n v="1019"/>
    <n v="193"/>
    <n v="327"/>
    <n v="150"/>
    <n v="1.6575073601570101"/>
    <s v="average"/>
    <n v="0"/>
  </r>
  <r>
    <n v="615"/>
    <x v="0"/>
    <x v="0"/>
    <d v="2024-06-04T00:00:00"/>
    <s v="Tuesday"/>
    <x v="9"/>
    <n v="114"/>
    <n v="0"/>
    <n v="3679"/>
    <n v="768"/>
    <n v="282"/>
    <n v="156"/>
    <n v="1.32780646914922"/>
    <s v="low"/>
    <n v="0"/>
  </r>
  <r>
    <n v="616"/>
    <x v="0"/>
    <x v="0"/>
    <d v="2024-05-16T00:00:00"/>
    <s v="Thursday"/>
    <x v="1"/>
    <n v="203"/>
    <n v="2"/>
    <n v="4695"/>
    <n v="632"/>
    <n v="238"/>
    <n v="611"/>
    <n v="1.31544195953141"/>
    <s v="low"/>
    <n v="0"/>
  </r>
  <r>
    <n v="617"/>
    <x v="1"/>
    <x v="0"/>
    <d v="2024-09-01T00:00:00"/>
    <s v="Sunday"/>
    <x v="7"/>
    <n v="271"/>
    <n v="15"/>
    <n v="1148"/>
    <n v="519"/>
    <n v="482"/>
    <n v="666"/>
    <n v="2.45209059233449"/>
    <s v="high"/>
    <n v="0"/>
  </r>
  <r>
    <n v="618"/>
    <x v="1"/>
    <x v="0"/>
    <d v="2024-03-11T00:00:00"/>
    <s v="Monday"/>
    <x v="15"/>
    <n v="231"/>
    <n v="7"/>
    <n v="1391"/>
    <n v="202"/>
    <n v="233"/>
    <n v="34"/>
    <n v="1.3371675053918"/>
    <s v="low"/>
    <n v="0"/>
  </r>
  <r>
    <n v="619"/>
    <x v="2"/>
    <x v="2"/>
    <d v="2024-04-13T00:00:00"/>
    <s v="Saturday"/>
    <x v="6"/>
    <n v="254"/>
    <n v="7"/>
    <n v="1725"/>
    <n v="72"/>
    <n v="183"/>
    <n v="450"/>
    <n v="1.40869565217391"/>
    <s v="low"/>
    <n v="0"/>
  </r>
  <r>
    <n v="620"/>
    <x v="2"/>
    <x v="2"/>
    <d v="2024-08-06T00:00:00"/>
    <s v="Tuesday"/>
    <x v="6"/>
    <n v="221"/>
    <n v="19"/>
    <n v="3366"/>
    <n v="799"/>
    <n v="44"/>
    <n v="623"/>
    <n v="1.4355317884729599"/>
    <s v="low"/>
    <n v="0"/>
  </r>
  <r>
    <n v="621"/>
    <x v="2"/>
    <x v="0"/>
    <d v="2024-10-19T00:00:00"/>
    <s v="Saturday"/>
    <x v="12"/>
    <n v="75"/>
    <n v="14"/>
    <n v="4914"/>
    <n v="554"/>
    <n v="539"/>
    <n v="657"/>
    <n v="1.3561253561253499"/>
    <s v="low"/>
    <n v="0"/>
  </r>
  <r>
    <n v="622"/>
    <x v="1"/>
    <x v="1"/>
    <d v="2024-08-21T00:00:00"/>
    <s v="Wednesday"/>
    <x v="14"/>
    <n v="218"/>
    <n v="16"/>
    <n v="397"/>
    <n v="256"/>
    <n v="533"/>
    <n v="551"/>
    <n v="4.3753148614609501"/>
    <s v="high"/>
    <n v="0"/>
  </r>
  <r>
    <n v="623"/>
    <x v="1"/>
    <x v="2"/>
    <d v="2024-01-26T00:00:00"/>
    <s v="Friday"/>
    <x v="17"/>
    <n v="105"/>
    <n v="13"/>
    <n v="1605"/>
    <n v="303"/>
    <n v="452"/>
    <n v="408"/>
    <n v="1.7246105919003101"/>
    <s v="average"/>
    <n v="0"/>
  </r>
  <r>
    <n v="624"/>
    <x v="1"/>
    <x v="1"/>
    <d v="2024-05-30T00:00:00"/>
    <s v="Thursday"/>
    <x v="17"/>
    <n v="66"/>
    <n v="16"/>
    <n v="496"/>
    <n v="711"/>
    <n v="531"/>
    <n v="146"/>
    <n v="3.79838709677419"/>
    <s v="high"/>
    <n v="0"/>
  </r>
  <r>
    <n v="625"/>
    <x v="1"/>
    <x v="2"/>
    <d v="2024-02-27T00:00:00"/>
    <s v="Tuesday"/>
    <x v="6"/>
    <n v="250"/>
    <n v="0"/>
    <n v="1522"/>
    <n v="604"/>
    <n v="561"/>
    <n v="139"/>
    <n v="1.85676741130092"/>
    <s v="average"/>
    <n v="0"/>
  </r>
  <r>
    <n v="626"/>
    <x v="0"/>
    <x v="2"/>
    <d v="2024-04-01T00:00:00"/>
    <s v="Monday"/>
    <x v="6"/>
    <n v="103"/>
    <n v="3"/>
    <n v="3766"/>
    <n v="609"/>
    <n v="208"/>
    <n v="466"/>
    <n v="1.34067976633032"/>
    <s v="low"/>
    <n v="0"/>
  </r>
  <r>
    <n v="627"/>
    <x v="1"/>
    <x v="0"/>
    <d v="2024-02-16T00:00:00"/>
    <s v="Friday"/>
    <x v="12"/>
    <n v="216"/>
    <n v="16"/>
    <n v="985"/>
    <n v="728"/>
    <n v="462"/>
    <n v="650"/>
    <n v="2.8680203045685202"/>
    <s v="high"/>
    <n v="0"/>
  </r>
  <r>
    <n v="628"/>
    <x v="0"/>
    <x v="2"/>
    <d v="2024-03-22T00:00:00"/>
    <s v="Friday"/>
    <x v="9"/>
    <n v="103"/>
    <n v="4"/>
    <n v="3152"/>
    <n v="568"/>
    <n v="391"/>
    <n v="45"/>
    <n v="1.31852791878172"/>
    <s v="low"/>
    <n v="0"/>
  </r>
  <r>
    <n v="629"/>
    <x v="2"/>
    <x v="2"/>
    <d v="2024-04-01T00:00:00"/>
    <s v="Monday"/>
    <x v="4"/>
    <n v="112"/>
    <n v="3"/>
    <n v="470"/>
    <n v="434"/>
    <n v="317"/>
    <n v="317"/>
    <n v="3.27234042553191"/>
    <s v="high"/>
    <n v="0"/>
  </r>
  <r>
    <n v="630"/>
    <x v="1"/>
    <x v="2"/>
    <d v="2024-03-08T00:00:00"/>
    <s v="Friday"/>
    <x v="11"/>
    <n v="298"/>
    <n v="0"/>
    <n v="1711"/>
    <n v="8"/>
    <n v="261"/>
    <n v="13"/>
    <n v="1.16481589713617"/>
    <s v="low"/>
    <n v="0"/>
  </r>
  <r>
    <n v="631"/>
    <x v="1"/>
    <x v="2"/>
    <d v="2024-09-09T00:00:00"/>
    <s v="Monday"/>
    <x v="3"/>
    <n v="23"/>
    <n v="7"/>
    <n v="1998"/>
    <n v="227"/>
    <n v="489"/>
    <n v="465"/>
    <n v="1.59109109109109"/>
    <s v="low"/>
    <n v="0"/>
  </r>
  <r>
    <n v="632"/>
    <x v="0"/>
    <x v="0"/>
    <d v="2024-10-07T00:00:00"/>
    <s v="Monday"/>
    <x v="9"/>
    <n v="48"/>
    <n v="20"/>
    <n v="2328"/>
    <n v="639"/>
    <n v="572"/>
    <n v="213"/>
    <n v="1.61168384879725"/>
    <s v="average"/>
    <n v="0"/>
  </r>
  <r>
    <n v="633"/>
    <x v="2"/>
    <x v="1"/>
    <d v="2024-06-27T00:00:00"/>
    <s v="Thursday"/>
    <x v="4"/>
    <n v="189"/>
    <n v="2"/>
    <n v="350"/>
    <n v="153"/>
    <n v="35"/>
    <n v="684"/>
    <n v="3.4914285714285702"/>
    <s v="high"/>
    <n v="0"/>
  </r>
  <r>
    <n v="634"/>
    <x v="2"/>
    <x v="2"/>
    <d v="2024-01-26T00:00:00"/>
    <s v="Friday"/>
    <x v="13"/>
    <n v="110"/>
    <n v="14"/>
    <n v="942"/>
    <n v="431"/>
    <n v="184"/>
    <n v="166"/>
    <n v="1.8290870488322699"/>
    <s v="average"/>
    <n v="0"/>
  </r>
  <r>
    <n v="635"/>
    <x v="1"/>
    <x v="2"/>
    <d v="2024-10-23T00:00:00"/>
    <s v="Wednesday"/>
    <x v="7"/>
    <n v="54"/>
    <n v="13"/>
    <n v="3000"/>
    <n v="41"/>
    <n v="97"/>
    <n v="307"/>
    <n v="1.1483333333333301"/>
    <s v="low"/>
    <n v="0"/>
  </r>
  <r>
    <n v="636"/>
    <x v="0"/>
    <x v="1"/>
    <d v="2024-10-08T00:00:00"/>
    <s v="Tuesday"/>
    <x v="15"/>
    <n v="188"/>
    <n v="16"/>
    <n v="581"/>
    <n v="304"/>
    <n v="484"/>
    <n v="138"/>
    <n v="2.59380378657487"/>
    <s v="high"/>
    <n v="0"/>
  </r>
  <r>
    <n v="637"/>
    <x v="0"/>
    <x v="0"/>
    <d v="2024-07-30T00:00:00"/>
    <s v="Tuesday"/>
    <x v="12"/>
    <n v="64"/>
    <n v="15"/>
    <n v="4347"/>
    <n v="219"/>
    <n v="216"/>
    <n v="627"/>
    <n v="1.2443064182194601"/>
    <s v="low"/>
    <n v="0"/>
  </r>
  <r>
    <n v="638"/>
    <x v="2"/>
    <x v="1"/>
    <d v="2024-05-27T00:00:00"/>
    <s v="Monday"/>
    <x v="5"/>
    <n v="86"/>
    <n v="19"/>
    <n v="3548"/>
    <n v="628"/>
    <n v="326"/>
    <n v="266"/>
    <n v="1.3438556933483601"/>
    <s v="low"/>
    <n v="0"/>
  </r>
  <r>
    <n v="639"/>
    <x v="0"/>
    <x v="1"/>
    <d v="2024-10-15T00:00:00"/>
    <s v="Tuesday"/>
    <x v="16"/>
    <n v="168"/>
    <n v="6"/>
    <n v="4116"/>
    <n v="537"/>
    <n v="511"/>
    <n v="505"/>
    <n v="1.3773080660835699"/>
    <s v="low"/>
    <n v="0"/>
  </r>
  <r>
    <n v="640"/>
    <x v="0"/>
    <x v="1"/>
    <d v="2024-01-01T00:00:00"/>
    <s v="Monday"/>
    <x v="10"/>
    <n v="232"/>
    <n v="13"/>
    <n v="1018"/>
    <n v="29"/>
    <n v="478"/>
    <n v="641"/>
    <n v="2.12770137524558"/>
    <s v="average"/>
    <n v="0"/>
  </r>
  <r>
    <n v="641"/>
    <x v="0"/>
    <x v="0"/>
    <d v="2024-01-24T00:00:00"/>
    <s v="Wednesday"/>
    <x v="10"/>
    <n v="164"/>
    <n v="8"/>
    <n v="2784"/>
    <n v="363"/>
    <n v="575"/>
    <n v="653"/>
    <n v="1.57147988505747"/>
    <s v="low"/>
    <n v="0"/>
  </r>
  <r>
    <n v="642"/>
    <x v="1"/>
    <x v="0"/>
    <d v="2024-02-04T00:00:00"/>
    <s v="Sunday"/>
    <x v="0"/>
    <n v="190"/>
    <n v="10"/>
    <n v="2571"/>
    <n v="312"/>
    <n v="520"/>
    <n v="564"/>
    <n v="1.54297938545313"/>
    <s v="low"/>
    <n v="0"/>
  </r>
  <r>
    <n v="643"/>
    <x v="0"/>
    <x v="2"/>
    <d v="2024-07-21T00:00:00"/>
    <s v="Sunday"/>
    <x v="6"/>
    <n v="265"/>
    <n v="15"/>
    <n v="4710"/>
    <n v="635"/>
    <n v="31"/>
    <n v="180"/>
    <n v="1.1796178343949"/>
    <s v="low"/>
    <n v="0"/>
  </r>
  <r>
    <n v="644"/>
    <x v="1"/>
    <x v="1"/>
    <d v="2024-01-19T00:00:00"/>
    <s v="Friday"/>
    <x v="6"/>
    <n v="256"/>
    <n v="13"/>
    <n v="1162"/>
    <n v="498"/>
    <n v="161"/>
    <n v="643"/>
    <n v="2.12048192771084"/>
    <s v="average"/>
    <n v="0"/>
  </r>
  <r>
    <n v="645"/>
    <x v="1"/>
    <x v="1"/>
    <d v="2024-01-29T00:00:00"/>
    <s v="Monday"/>
    <x v="13"/>
    <n v="29"/>
    <n v="6"/>
    <n v="4318"/>
    <n v="311"/>
    <n v="580"/>
    <n v="695"/>
    <n v="1.36729967577582"/>
    <s v="low"/>
    <n v="0"/>
  </r>
  <r>
    <n v="646"/>
    <x v="1"/>
    <x v="0"/>
    <d v="2024-10-22T00:00:00"/>
    <s v="Tuesday"/>
    <x v="6"/>
    <n v="212"/>
    <n v="20"/>
    <n v="2767"/>
    <n v="367"/>
    <n v="69"/>
    <n v="153"/>
    <n v="1.2128659197687"/>
    <s v="low"/>
    <n v="0"/>
  </r>
  <r>
    <n v="647"/>
    <x v="2"/>
    <x v="0"/>
    <d v="2024-09-30T00:00:00"/>
    <s v="Monday"/>
    <x v="4"/>
    <n v="181"/>
    <n v="1"/>
    <n v="1409"/>
    <n v="589"/>
    <n v="400"/>
    <n v="192"/>
    <n v="1.8381831085876501"/>
    <s v="average"/>
    <n v="0"/>
  </r>
  <r>
    <n v="648"/>
    <x v="1"/>
    <x v="2"/>
    <d v="2024-05-19T00:00:00"/>
    <s v="Sunday"/>
    <x v="4"/>
    <n v="130"/>
    <n v="16"/>
    <n v="3440"/>
    <n v="93"/>
    <n v="510"/>
    <n v="244"/>
    <n v="1.24622093023255"/>
    <s v="low"/>
    <n v="0"/>
  </r>
  <r>
    <n v="649"/>
    <x v="0"/>
    <x v="0"/>
    <d v="2024-06-03T00:00:00"/>
    <s v="Monday"/>
    <x v="17"/>
    <n v="279"/>
    <n v="0"/>
    <n v="1483"/>
    <n v="119"/>
    <n v="385"/>
    <n v="39"/>
    <n v="1.36614969656102"/>
    <s v="low"/>
    <n v="0"/>
  </r>
  <r>
    <n v="650"/>
    <x v="1"/>
    <x v="1"/>
    <d v="2024-09-04T00:00:00"/>
    <s v="Wednesday"/>
    <x v="12"/>
    <n v="178"/>
    <n v="10"/>
    <n v="4146"/>
    <n v="162"/>
    <n v="196"/>
    <n v="349"/>
    <n v="1.1705258080077099"/>
    <s v="low"/>
    <n v="0"/>
  </r>
  <r>
    <n v="651"/>
    <x v="2"/>
    <x v="0"/>
    <d v="2024-03-14T00:00:00"/>
    <s v="Thursday"/>
    <x v="17"/>
    <n v="218"/>
    <n v="16"/>
    <n v="854"/>
    <n v="533"/>
    <n v="137"/>
    <n v="211"/>
    <n v="2.0316159250585399"/>
    <s v="average"/>
    <n v="0"/>
  </r>
  <r>
    <n v="652"/>
    <x v="0"/>
    <x v="2"/>
    <d v="2024-02-29T00:00:00"/>
    <s v="Thursday"/>
    <x v="17"/>
    <n v="43"/>
    <n v="3"/>
    <n v="83"/>
    <n v="323"/>
    <n v="47"/>
    <n v="609"/>
    <n v="12.7951807228915"/>
    <s v="high"/>
    <n v="0"/>
  </r>
  <r>
    <n v="653"/>
    <x v="2"/>
    <x v="0"/>
    <d v="2024-09-23T00:00:00"/>
    <s v="Monday"/>
    <x v="6"/>
    <n v="122"/>
    <n v="6"/>
    <n v="2609"/>
    <n v="28"/>
    <n v="593"/>
    <n v="320"/>
    <n v="1.36067458796473"/>
    <s v="low"/>
    <n v="0"/>
  </r>
  <r>
    <n v="654"/>
    <x v="2"/>
    <x v="0"/>
    <d v="2024-05-26T00:00:00"/>
    <s v="Sunday"/>
    <x v="15"/>
    <n v="96"/>
    <n v="5"/>
    <n v="2316"/>
    <n v="550"/>
    <n v="328"/>
    <n v="452"/>
    <n v="1.5742659758203801"/>
    <s v="low"/>
    <n v="0"/>
  </r>
  <r>
    <n v="655"/>
    <x v="0"/>
    <x v="0"/>
    <d v="2024-05-20T00:00:00"/>
    <s v="Monday"/>
    <x v="13"/>
    <n v="199"/>
    <n v="17"/>
    <n v="987"/>
    <n v="20"/>
    <n v="575"/>
    <n v="527"/>
    <n v="2.13677811550152"/>
    <s v="average"/>
    <n v="1"/>
  </r>
  <r>
    <n v="656"/>
    <x v="0"/>
    <x v="0"/>
    <d v="2024-06-12T00:00:00"/>
    <s v="Wednesday"/>
    <x v="3"/>
    <n v="179"/>
    <n v="19"/>
    <n v="2270"/>
    <n v="149"/>
    <n v="292"/>
    <n v="588"/>
    <n v="1.4533039647577"/>
    <s v="low"/>
    <n v="0"/>
  </r>
  <r>
    <n v="657"/>
    <x v="0"/>
    <x v="2"/>
    <d v="2024-06-22T00:00:00"/>
    <s v="Saturday"/>
    <x v="14"/>
    <n v="74"/>
    <n v="12"/>
    <n v="4478"/>
    <n v="459"/>
    <n v="53"/>
    <n v="134"/>
    <n v="1.144260830728"/>
    <s v="low"/>
    <n v="0"/>
  </r>
  <r>
    <n v="658"/>
    <x v="2"/>
    <x v="1"/>
    <d v="2024-01-28T00:00:00"/>
    <s v="Sunday"/>
    <x v="17"/>
    <n v="202"/>
    <n v="9"/>
    <n v="755"/>
    <n v="441"/>
    <n v="403"/>
    <n v="184"/>
    <n v="2.3615894039735101"/>
    <s v="average"/>
    <n v="0"/>
  </r>
  <r>
    <n v="659"/>
    <x v="1"/>
    <x v="1"/>
    <d v="2024-06-19T00:00:00"/>
    <s v="Wednesday"/>
    <x v="9"/>
    <n v="67"/>
    <n v="14"/>
    <n v="1673"/>
    <n v="735"/>
    <n v="548"/>
    <n v="81"/>
    <n v="1.8153018529587499"/>
    <s v="average"/>
    <n v="0"/>
  </r>
  <r>
    <n v="660"/>
    <x v="0"/>
    <x v="0"/>
    <d v="2024-02-19T00:00:00"/>
    <s v="Monday"/>
    <x v="9"/>
    <n v="152"/>
    <n v="11"/>
    <n v="3782"/>
    <n v="322"/>
    <n v="478"/>
    <n v="482"/>
    <n v="1.33897408778424"/>
    <s v="low"/>
    <n v="0"/>
  </r>
  <r>
    <n v="661"/>
    <x v="1"/>
    <x v="2"/>
    <d v="2024-07-19T00:00:00"/>
    <s v="Friday"/>
    <x v="1"/>
    <n v="53"/>
    <n v="15"/>
    <n v="1552"/>
    <n v="721"/>
    <n v="340"/>
    <n v="333"/>
    <n v="1.8981958762886599"/>
    <s v="average"/>
    <n v="0"/>
  </r>
  <r>
    <n v="662"/>
    <x v="1"/>
    <x v="2"/>
    <d v="2024-02-27T00:00:00"/>
    <s v="Tuesday"/>
    <x v="9"/>
    <n v="280"/>
    <n v="3"/>
    <n v="2929"/>
    <n v="495"/>
    <n v="474"/>
    <n v="175"/>
    <n v="1.3905769887333499"/>
    <s v="low"/>
    <n v="0"/>
  </r>
  <r>
    <n v="663"/>
    <x v="0"/>
    <x v="2"/>
    <d v="2024-07-26T00:00:00"/>
    <s v="Friday"/>
    <x v="13"/>
    <n v="256"/>
    <n v="12"/>
    <n v="926"/>
    <n v="338"/>
    <n v="571"/>
    <n v="666"/>
    <n v="2.7008639308855198"/>
    <s v="high"/>
    <n v="1"/>
  </r>
  <r>
    <n v="664"/>
    <x v="0"/>
    <x v="2"/>
    <d v="2024-07-30T00:00:00"/>
    <s v="Tuesday"/>
    <x v="7"/>
    <n v="53"/>
    <n v="10"/>
    <n v="2004"/>
    <n v="640"/>
    <n v="251"/>
    <n v="562"/>
    <n v="1.7250499001996"/>
    <s v="average"/>
    <n v="0"/>
  </r>
  <r>
    <n v="665"/>
    <x v="1"/>
    <x v="1"/>
    <d v="2024-04-16T00:00:00"/>
    <s v="Tuesday"/>
    <x v="16"/>
    <n v="108"/>
    <n v="2"/>
    <n v="4891"/>
    <n v="446"/>
    <n v="447"/>
    <n v="581"/>
    <n v="1.3013698630136901"/>
    <s v="low"/>
    <n v="0"/>
  </r>
  <r>
    <n v="666"/>
    <x v="2"/>
    <x v="0"/>
    <d v="2024-10-20T00:00:00"/>
    <s v="Sunday"/>
    <x v="17"/>
    <n v="110"/>
    <n v="9"/>
    <n v="4036"/>
    <n v="122"/>
    <n v="476"/>
    <n v="334"/>
    <n v="1.23092170465807"/>
    <s v="low"/>
    <n v="0"/>
  </r>
  <r>
    <n v="667"/>
    <x v="1"/>
    <x v="2"/>
    <d v="2024-07-26T00:00:00"/>
    <s v="Friday"/>
    <x v="11"/>
    <n v="51"/>
    <n v="2"/>
    <n v="620"/>
    <n v="617"/>
    <n v="113"/>
    <n v="611"/>
    <n v="3.16290322580645"/>
    <s v="high"/>
    <n v="0"/>
  </r>
  <r>
    <n v="668"/>
    <x v="2"/>
    <x v="0"/>
    <d v="2024-04-21T00:00:00"/>
    <s v="Sunday"/>
    <x v="17"/>
    <n v="292"/>
    <n v="9"/>
    <n v="1188"/>
    <n v="599"/>
    <n v="2"/>
    <n v="151"/>
    <n v="1.6329966329966299"/>
    <s v="average"/>
    <n v="0"/>
  </r>
  <r>
    <n v="669"/>
    <x v="2"/>
    <x v="2"/>
    <d v="2024-07-18T00:00:00"/>
    <s v="Thursday"/>
    <x v="4"/>
    <n v="175"/>
    <n v="13"/>
    <n v="4784"/>
    <n v="462"/>
    <n v="202"/>
    <n v="211"/>
    <n v="1.1829013377926401"/>
    <s v="low"/>
    <n v="0"/>
  </r>
  <r>
    <n v="670"/>
    <x v="2"/>
    <x v="2"/>
    <d v="2024-06-25T00:00:00"/>
    <s v="Tuesday"/>
    <x v="9"/>
    <n v="170"/>
    <n v="1"/>
    <n v="781"/>
    <n v="601"/>
    <n v="10"/>
    <n v="627"/>
    <n v="2.5851472471190702"/>
    <s v="high"/>
    <n v="0"/>
  </r>
  <r>
    <n v="671"/>
    <x v="1"/>
    <x v="0"/>
    <d v="2024-07-08T00:00:00"/>
    <s v="Monday"/>
    <x v="4"/>
    <n v="35"/>
    <n v="7"/>
    <n v="4546"/>
    <n v="59"/>
    <n v="2"/>
    <n v="574"/>
    <n v="1.1396832380114299"/>
    <s v="low"/>
    <n v="0"/>
  </r>
  <r>
    <n v="672"/>
    <x v="1"/>
    <x v="2"/>
    <d v="2024-08-09T00:00:00"/>
    <s v="Friday"/>
    <x v="8"/>
    <n v="299"/>
    <n v="6"/>
    <n v="4884"/>
    <n v="408"/>
    <n v="327"/>
    <n v="392"/>
    <n v="1.2307534807534799"/>
    <s v="low"/>
    <n v="0"/>
  </r>
  <r>
    <n v="673"/>
    <x v="1"/>
    <x v="2"/>
    <d v="2024-03-29T00:00:00"/>
    <s v="Friday"/>
    <x v="8"/>
    <n v="98"/>
    <n v="9"/>
    <n v="3940"/>
    <n v="147"/>
    <n v="194"/>
    <n v="569"/>
    <n v="1.2309644670050699"/>
    <s v="low"/>
    <n v="0"/>
  </r>
  <r>
    <n v="674"/>
    <x v="0"/>
    <x v="0"/>
    <d v="2024-03-05T00:00:00"/>
    <s v="Tuesday"/>
    <x v="11"/>
    <n v="243"/>
    <n v="4"/>
    <n v="1150"/>
    <n v="16"/>
    <n v="75"/>
    <n v="664"/>
    <n v="1.6565217391304301"/>
    <s v="average"/>
    <n v="0"/>
  </r>
  <r>
    <n v="675"/>
    <x v="2"/>
    <x v="1"/>
    <d v="2024-02-13T00:00:00"/>
    <s v="Tuesday"/>
    <x v="8"/>
    <n v="112"/>
    <n v="14"/>
    <n v="1174"/>
    <n v="662"/>
    <n v="427"/>
    <n v="467"/>
    <n v="2.3253833049403698"/>
    <s v="average"/>
    <n v="0"/>
  </r>
  <r>
    <n v="676"/>
    <x v="1"/>
    <x v="0"/>
    <d v="2024-09-17T00:00:00"/>
    <s v="Tuesday"/>
    <x v="2"/>
    <n v="237"/>
    <n v="19"/>
    <n v="3524"/>
    <n v="570"/>
    <n v="462"/>
    <n v="394"/>
    <n v="1.40465380249716"/>
    <s v="low"/>
    <n v="0"/>
  </r>
  <r>
    <n v="677"/>
    <x v="1"/>
    <x v="2"/>
    <d v="2024-01-04T00:00:00"/>
    <s v="Thursday"/>
    <x v="13"/>
    <n v="207"/>
    <n v="1"/>
    <n v="4784"/>
    <n v="515"/>
    <n v="244"/>
    <n v="514"/>
    <n v="1.2660953177257499"/>
    <s v="low"/>
    <n v="0"/>
  </r>
  <r>
    <n v="678"/>
    <x v="2"/>
    <x v="2"/>
    <d v="2024-01-20T00:00:00"/>
    <s v="Saturday"/>
    <x v="3"/>
    <n v="92"/>
    <n v="16"/>
    <n v="4704"/>
    <n v="499"/>
    <n v="379"/>
    <n v="116"/>
    <n v="1.21130952380952"/>
    <s v="low"/>
    <n v="0"/>
  </r>
  <r>
    <n v="679"/>
    <x v="2"/>
    <x v="0"/>
    <d v="2024-05-23T00:00:00"/>
    <s v="Thursday"/>
    <x v="16"/>
    <n v="261"/>
    <n v="20"/>
    <n v="3858"/>
    <n v="534"/>
    <n v="82"/>
    <n v="536"/>
    <n v="1.2986003110419899"/>
    <s v="low"/>
    <n v="0"/>
  </r>
  <r>
    <n v="680"/>
    <x v="0"/>
    <x v="2"/>
    <d v="2024-02-09T00:00:00"/>
    <s v="Friday"/>
    <x v="13"/>
    <n v="25"/>
    <n v="15"/>
    <n v="4467"/>
    <n v="598"/>
    <n v="321"/>
    <n v="628"/>
    <n v="1.34631743899708"/>
    <s v="low"/>
    <n v="0"/>
  </r>
  <r>
    <n v="681"/>
    <x v="1"/>
    <x v="2"/>
    <d v="2024-08-20T00:00:00"/>
    <s v="Tuesday"/>
    <x v="4"/>
    <n v="168"/>
    <n v="5"/>
    <n v="4249"/>
    <n v="485"/>
    <n v="589"/>
    <n v="340"/>
    <n v="1.332784184514"/>
    <s v="low"/>
    <n v="0"/>
  </r>
  <r>
    <n v="682"/>
    <x v="1"/>
    <x v="0"/>
    <d v="2024-01-19T00:00:00"/>
    <s v="Friday"/>
    <x v="11"/>
    <n v="106"/>
    <n v="18"/>
    <n v="4945"/>
    <n v="772"/>
    <n v="313"/>
    <n v="578"/>
    <n v="1.33629929221435"/>
    <s v="low"/>
    <n v="0"/>
  </r>
  <r>
    <n v="683"/>
    <x v="1"/>
    <x v="0"/>
    <d v="2024-01-27T00:00:00"/>
    <s v="Saturday"/>
    <x v="9"/>
    <n v="278"/>
    <n v="2"/>
    <n v="2440"/>
    <n v="760"/>
    <n v="29"/>
    <n v="294"/>
    <n v="1.4438524590163899"/>
    <s v="low"/>
    <n v="0"/>
  </r>
  <r>
    <n v="684"/>
    <x v="1"/>
    <x v="0"/>
    <d v="2024-05-22T00:00:00"/>
    <s v="Wednesday"/>
    <x v="0"/>
    <n v="109"/>
    <n v="18"/>
    <n v="2114"/>
    <n v="140"/>
    <n v="289"/>
    <n v="282"/>
    <n v="1.3363292336802199"/>
    <s v="low"/>
    <n v="0"/>
  </r>
  <r>
    <n v="685"/>
    <x v="2"/>
    <x v="0"/>
    <d v="2024-03-18T00:00:00"/>
    <s v="Monday"/>
    <x v="11"/>
    <n v="112"/>
    <n v="16"/>
    <n v="3708"/>
    <n v="383"/>
    <n v="181"/>
    <n v="268"/>
    <n v="1.2243797195253501"/>
    <s v="low"/>
    <n v="0"/>
  </r>
  <r>
    <n v="686"/>
    <x v="0"/>
    <x v="2"/>
    <d v="2024-01-17T00:00:00"/>
    <s v="Wednesday"/>
    <x v="8"/>
    <n v="216"/>
    <n v="7"/>
    <n v="2858"/>
    <n v="91"/>
    <n v="150"/>
    <n v="610"/>
    <n v="1.29776067179846"/>
    <s v="low"/>
    <n v="0"/>
  </r>
  <r>
    <n v="687"/>
    <x v="0"/>
    <x v="1"/>
    <d v="2024-08-13T00:00:00"/>
    <s v="Tuesday"/>
    <x v="15"/>
    <n v="79"/>
    <n v="1"/>
    <n v="1420"/>
    <n v="220"/>
    <n v="593"/>
    <n v="354"/>
    <n v="1.82183098591549"/>
    <s v="average"/>
    <n v="0"/>
  </r>
  <r>
    <n v="688"/>
    <x v="1"/>
    <x v="1"/>
    <d v="2024-03-26T00:00:00"/>
    <s v="Tuesday"/>
    <x v="13"/>
    <n v="139"/>
    <n v="12"/>
    <n v="3851"/>
    <n v="413"/>
    <n v="489"/>
    <n v="309"/>
    <n v="1.31446377564269"/>
    <s v="low"/>
    <n v="0"/>
  </r>
  <r>
    <n v="689"/>
    <x v="1"/>
    <x v="0"/>
    <d v="2024-07-18T00:00:00"/>
    <s v="Thursday"/>
    <x v="4"/>
    <n v="249"/>
    <n v="12"/>
    <n v="3937"/>
    <n v="273"/>
    <n v="150"/>
    <n v="544"/>
    <n v="1.2456184912369801"/>
    <s v="low"/>
    <n v="0"/>
  </r>
  <r>
    <n v="690"/>
    <x v="2"/>
    <x v="1"/>
    <d v="2024-06-10T00:00:00"/>
    <s v="Monday"/>
    <x v="5"/>
    <n v="241"/>
    <n v="19"/>
    <n v="4393"/>
    <n v="704"/>
    <n v="44"/>
    <n v="100"/>
    <n v="1.1930343728659201"/>
    <s v="low"/>
    <n v="0"/>
  </r>
  <r>
    <n v="691"/>
    <x v="1"/>
    <x v="1"/>
    <d v="2024-05-19T00:00:00"/>
    <s v="Sunday"/>
    <x v="7"/>
    <n v="256"/>
    <n v="7"/>
    <n v="2794"/>
    <n v="281"/>
    <n v="275"/>
    <n v="101"/>
    <n v="1.2351467430207499"/>
    <s v="low"/>
    <n v="0"/>
  </r>
  <r>
    <n v="692"/>
    <x v="2"/>
    <x v="0"/>
    <d v="2024-04-09T00:00:00"/>
    <s v="Tuesday"/>
    <x v="1"/>
    <n v="54"/>
    <n v="0"/>
    <n v="4309"/>
    <n v="350"/>
    <n v="186"/>
    <n v="321"/>
    <n v="1.19888605244836"/>
    <s v="low"/>
    <n v="0"/>
  </r>
  <r>
    <n v="693"/>
    <x v="1"/>
    <x v="0"/>
    <d v="2024-07-29T00:00:00"/>
    <s v="Monday"/>
    <x v="4"/>
    <n v="148"/>
    <n v="6"/>
    <n v="850"/>
    <n v="542"/>
    <n v="108"/>
    <n v="457"/>
    <n v="2.30235294117647"/>
    <s v="average"/>
    <n v="0"/>
  </r>
  <r>
    <n v="694"/>
    <x v="2"/>
    <x v="1"/>
    <d v="2024-01-18T00:00:00"/>
    <s v="Thursday"/>
    <x v="10"/>
    <n v="82"/>
    <n v="3"/>
    <n v="244"/>
    <n v="639"/>
    <n v="96"/>
    <n v="59"/>
    <n v="4.2540983606557301"/>
    <s v="high"/>
    <n v="0"/>
  </r>
  <r>
    <n v="695"/>
    <x v="0"/>
    <x v="1"/>
    <d v="2024-02-14T00:00:00"/>
    <s v="Wednesday"/>
    <x v="2"/>
    <n v="149"/>
    <n v="9"/>
    <n v="1114"/>
    <n v="389"/>
    <n v="581"/>
    <n v="190"/>
    <n v="2.04129263913824"/>
    <s v="average"/>
    <n v="1"/>
  </r>
  <r>
    <n v="696"/>
    <x v="1"/>
    <x v="1"/>
    <d v="2024-08-27T00:00:00"/>
    <s v="Tuesday"/>
    <x v="6"/>
    <n v="151"/>
    <n v="5"/>
    <n v="670"/>
    <n v="659"/>
    <n v="466"/>
    <n v="284"/>
    <n v="3.1029850746268601"/>
    <s v="high"/>
    <n v="0"/>
  </r>
  <r>
    <n v="697"/>
    <x v="1"/>
    <x v="2"/>
    <d v="2024-02-07T00:00:00"/>
    <s v="Wednesday"/>
    <x v="14"/>
    <n v="152"/>
    <n v="8"/>
    <n v="2321"/>
    <n v="800"/>
    <n v="65"/>
    <n v="392"/>
    <n v="1.54157690650581"/>
    <s v="low"/>
    <n v="0"/>
  </r>
  <r>
    <n v="698"/>
    <x v="2"/>
    <x v="2"/>
    <d v="2024-04-01T00:00:00"/>
    <s v="Monday"/>
    <x v="2"/>
    <n v="271"/>
    <n v="3"/>
    <n v="3659"/>
    <n v="76"/>
    <n v="505"/>
    <n v="206"/>
    <n v="1.2150860890953801"/>
    <s v="low"/>
    <n v="0"/>
  </r>
  <r>
    <n v="699"/>
    <x v="2"/>
    <x v="1"/>
    <d v="2024-03-14T00:00:00"/>
    <s v="Thursday"/>
    <x v="0"/>
    <n v="246"/>
    <n v="8"/>
    <n v="4478"/>
    <n v="792"/>
    <n v="443"/>
    <n v="224"/>
    <n v="1.3258150960250099"/>
    <s v="low"/>
    <n v="0"/>
  </r>
  <r>
    <n v="700"/>
    <x v="2"/>
    <x v="2"/>
    <d v="2024-02-22T00:00:00"/>
    <s v="Thursday"/>
    <x v="17"/>
    <n v="29"/>
    <n v="15"/>
    <n v="335"/>
    <n v="79"/>
    <n v="74"/>
    <n v="586"/>
    <n v="3.20597014925373"/>
    <s v="high"/>
    <n v="0"/>
  </r>
  <r>
    <n v="701"/>
    <x v="0"/>
    <x v="1"/>
    <d v="2024-03-17T00:00:00"/>
    <s v="Sunday"/>
    <x v="6"/>
    <n v="220"/>
    <n v="18"/>
    <n v="57"/>
    <n v="43"/>
    <n v="401"/>
    <n v="273"/>
    <n v="13.578947368421"/>
    <s v="high"/>
    <n v="0"/>
  </r>
  <r>
    <n v="702"/>
    <x v="1"/>
    <x v="2"/>
    <d v="2024-01-02T00:00:00"/>
    <s v="Tuesday"/>
    <x v="3"/>
    <n v="296"/>
    <n v="7"/>
    <n v="4272"/>
    <n v="729"/>
    <n v="504"/>
    <n v="490"/>
    <n v="1.40332397003745"/>
    <s v="low"/>
    <n v="0"/>
  </r>
  <r>
    <n v="703"/>
    <x v="2"/>
    <x v="1"/>
    <d v="2024-01-02T00:00:00"/>
    <s v="Tuesday"/>
    <x v="5"/>
    <n v="190"/>
    <n v="9"/>
    <n v="3199"/>
    <n v="710"/>
    <n v="495"/>
    <n v="125"/>
    <n v="1.41575492341356"/>
    <s v="low"/>
    <n v="0"/>
  </r>
  <r>
    <n v="704"/>
    <x v="2"/>
    <x v="2"/>
    <d v="2024-07-24T00:00:00"/>
    <s v="Wednesday"/>
    <x v="3"/>
    <n v="255"/>
    <n v="9"/>
    <n v="502"/>
    <n v="652"/>
    <n v="94"/>
    <n v="375"/>
    <n v="3.2330677290836598"/>
    <s v="high"/>
    <n v="0"/>
  </r>
  <r>
    <n v="705"/>
    <x v="2"/>
    <x v="0"/>
    <d v="2024-04-13T00:00:00"/>
    <s v="Saturday"/>
    <x v="4"/>
    <n v="219"/>
    <n v="3"/>
    <n v="1496"/>
    <n v="572"/>
    <n v="42"/>
    <n v="394"/>
    <n v="1.6737967914438501"/>
    <s v="average"/>
    <n v="0"/>
  </r>
  <r>
    <n v="706"/>
    <x v="0"/>
    <x v="0"/>
    <d v="2024-07-02T00:00:00"/>
    <s v="Tuesday"/>
    <x v="10"/>
    <n v="32"/>
    <n v="18"/>
    <n v="4035"/>
    <n v="91"/>
    <n v="450"/>
    <n v="195"/>
    <n v="1.18240396530359"/>
    <s v="low"/>
    <n v="0"/>
  </r>
  <r>
    <n v="707"/>
    <x v="2"/>
    <x v="2"/>
    <d v="2024-05-02T00:00:00"/>
    <s v="Thursday"/>
    <x v="11"/>
    <n v="293"/>
    <n v="14"/>
    <n v="4057"/>
    <n v="403"/>
    <n v="66"/>
    <n v="554"/>
    <n v="1.2521567660833099"/>
    <s v="low"/>
    <n v="0"/>
  </r>
  <r>
    <n v="708"/>
    <x v="2"/>
    <x v="0"/>
    <d v="2024-01-09T00:00:00"/>
    <s v="Tuesday"/>
    <x v="7"/>
    <n v="80"/>
    <n v="6"/>
    <n v="353"/>
    <n v="352"/>
    <n v="59"/>
    <n v="346"/>
    <n v="3.1444759206798798"/>
    <s v="high"/>
    <n v="0"/>
  </r>
  <r>
    <n v="709"/>
    <x v="2"/>
    <x v="1"/>
    <d v="2024-09-24T00:00:00"/>
    <s v="Tuesday"/>
    <x v="16"/>
    <n v="56"/>
    <n v="1"/>
    <n v="3804"/>
    <n v="699"/>
    <n v="551"/>
    <n v="153"/>
    <n v="1.36882229232386"/>
    <s v="low"/>
    <n v="0"/>
  </r>
  <r>
    <n v="710"/>
    <x v="2"/>
    <x v="0"/>
    <d v="2024-03-13T00:00:00"/>
    <s v="Wednesday"/>
    <x v="16"/>
    <n v="86"/>
    <n v="0"/>
    <n v="4055"/>
    <n v="674"/>
    <n v="21"/>
    <n v="483"/>
    <n v="1.2905055487053001"/>
    <s v="low"/>
    <n v="0"/>
  </r>
  <r>
    <n v="711"/>
    <x v="2"/>
    <x v="0"/>
    <d v="2024-03-29T00:00:00"/>
    <s v="Friday"/>
    <x v="3"/>
    <n v="74"/>
    <n v="3"/>
    <n v="459"/>
    <n v="319"/>
    <n v="101"/>
    <n v="468"/>
    <n v="2.9346405228758101"/>
    <s v="high"/>
    <n v="0"/>
  </r>
  <r>
    <n v="712"/>
    <x v="0"/>
    <x v="2"/>
    <d v="2024-09-11T00:00:00"/>
    <s v="Wednesday"/>
    <x v="6"/>
    <n v="225"/>
    <n v="10"/>
    <n v="4924"/>
    <n v="635"/>
    <n v="227"/>
    <n v="65"/>
    <n v="1.1882615759545001"/>
    <s v="low"/>
    <n v="0"/>
  </r>
  <r>
    <n v="713"/>
    <x v="0"/>
    <x v="0"/>
    <d v="2024-03-02T00:00:00"/>
    <s v="Saturday"/>
    <x v="2"/>
    <n v="191"/>
    <n v="2"/>
    <n v="4768"/>
    <n v="563"/>
    <n v="142"/>
    <n v="330"/>
    <n v="1.217072147651"/>
    <s v="low"/>
    <n v="0"/>
  </r>
  <r>
    <n v="714"/>
    <x v="2"/>
    <x v="2"/>
    <d v="2024-03-02T00:00:00"/>
    <s v="Saturday"/>
    <x v="13"/>
    <n v="104"/>
    <n v="14"/>
    <n v="2293"/>
    <n v="149"/>
    <n v="427"/>
    <n v="173"/>
    <n v="1.3266463148713401"/>
    <s v="low"/>
    <n v="0"/>
  </r>
  <r>
    <n v="715"/>
    <x v="2"/>
    <x v="1"/>
    <d v="2024-05-04T00:00:00"/>
    <s v="Saturday"/>
    <x v="7"/>
    <n v="100"/>
    <n v="0"/>
    <n v="4817"/>
    <n v="46"/>
    <n v="138"/>
    <n v="103"/>
    <n v="1.059580651858"/>
    <s v="low"/>
    <n v="0"/>
  </r>
  <r>
    <n v="716"/>
    <x v="0"/>
    <x v="1"/>
    <d v="2024-09-06T00:00:00"/>
    <s v="Friday"/>
    <x v="4"/>
    <n v="233"/>
    <n v="15"/>
    <n v="711"/>
    <n v="11"/>
    <n v="9"/>
    <n v="184"/>
    <n v="1.2869198312236201"/>
    <s v="low"/>
    <n v="0"/>
  </r>
  <r>
    <n v="717"/>
    <x v="1"/>
    <x v="2"/>
    <d v="2024-03-05T00:00:00"/>
    <s v="Tuesday"/>
    <x v="16"/>
    <n v="109"/>
    <n v="19"/>
    <n v="1738"/>
    <n v="151"/>
    <n v="279"/>
    <n v="536"/>
    <n v="1.5558112773302599"/>
    <s v="low"/>
    <n v="0"/>
  </r>
  <r>
    <n v="718"/>
    <x v="0"/>
    <x v="1"/>
    <d v="2024-01-20T00:00:00"/>
    <s v="Saturday"/>
    <x v="4"/>
    <n v="198"/>
    <n v="13"/>
    <n v="4934"/>
    <n v="189"/>
    <n v="513"/>
    <n v="627"/>
    <n v="1.26935549250101"/>
    <s v="low"/>
    <n v="0"/>
  </r>
  <r>
    <n v="719"/>
    <x v="2"/>
    <x v="0"/>
    <d v="2024-01-03T00:00:00"/>
    <s v="Wednesday"/>
    <x v="5"/>
    <n v="296"/>
    <n v="16"/>
    <n v="4618"/>
    <n v="246"/>
    <n v="198"/>
    <n v="121"/>
    <n v="1.12234733650931"/>
    <s v="low"/>
    <n v="0"/>
  </r>
  <r>
    <n v="720"/>
    <x v="0"/>
    <x v="0"/>
    <d v="2024-04-22T00:00:00"/>
    <s v="Monday"/>
    <x v="0"/>
    <n v="96"/>
    <n v="15"/>
    <n v="3852"/>
    <n v="793"/>
    <n v="215"/>
    <n v="284"/>
    <n v="1.3354101765316699"/>
    <s v="low"/>
    <n v="0"/>
  </r>
  <r>
    <n v="721"/>
    <x v="2"/>
    <x v="2"/>
    <d v="2024-09-11T00:00:00"/>
    <s v="Wednesday"/>
    <x v="4"/>
    <n v="127"/>
    <n v="13"/>
    <n v="1494"/>
    <n v="168"/>
    <n v="46"/>
    <n v="56"/>
    <n v="1.18072289156626"/>
    <s v="low"/>
    <n v="0"/>
  </r>
  <r>
    <n v="722"/>
    <x v="0"/>
    <x v="1"/>
    <d v="2024-05-08T00:00:00"/>
    <s v="Wednesday"/>
    <x v="14"/>
    <n v="295"/>
    <n v="5"/>
    <n v="2788"/>
    <n v="636"/>
    <n v="466"/>
    <n v="45"/>
    <n v="1.4114060258249601"/>
    <s v="low"/>
    <n v="0"/>
  </r>
  <r>
    <n v="723"/>
    <x v="0"/>
    <x v="0"/>
    <d v="2024-03-21T00:00:00"/>
    <s v="Thursday"/>
    <x v="17"/>
    <n v="186"/>
    <n v="13"/>
    <n v="288"/>
    <n v="501"/>
    <n v="529"/>
    <n v="119"/>
    <n v="4.9895833333333304"/>
    <s v="high"/>
    <n v="0"/>
  </r>
  <r>
    <n v="724"/>
    <x v="0"/>
    <x v="0"/>
    <d v="2024-04-11T00:00:00"/>
    <s v="Thursday"/>
    <x v="16"/>
    <n v="231"/>
    <n v="6"/>
    <n v="2718"/>
    <n v="240"/>
    <n v="114"/>
    <n v="334"/>
    <n v="1.2531272994849101"/>
    <s v="low"/>
    <n v="0"/>
  </r>
  <r>
    <n v="725"/>
    <x v="1"/>
    <x v="0"/>
    <d v="2024-07-11T00:00:00"/>
    <s v="Thursday"/>
    <x v="8"/>
    <n v="94"/>
    <n v="6"/>
    <n v="1857"/>
    <n v="80"/>
    <n v="484"/>
    <n v="600"/>
    <n v="1.62681744749596"/>
    <s v="average"/>
    <n v="0"/>
  </r>
  <r>
    <n v="726"/>
    <x v="1"/>
    <x v="1"/>
    <d v="2024-08-20T00:00:00"/>
    <s v="Tuesday"/>
    <x v="10"/>
    <n v="203"/>
    <n v="8"/>
    <n v="1508"/>
    <n v="401"/>
    <n v="384"/>
    <n v="140"/>
    <n v="1.6133952254641899"/>
    <s v="average"/>
    <n v="0"/>
  </r>
  <r>
    <n v="727"/>
    <x v="0"/>
    <x v="2"/>
    <d v="2024-04-13T00:00:00"/>
    <s v="Saturday"/>
    <x v="9"/>
    <n v="76"/>
    <n v="14"/>
    <n v="2801"/>
    <n v="135"/>
    <n v="34"/>
    <n v="583"/>
    <n v="1.2684755444484099"/>
    <s v="low"/>
    <n v="0"/>
  </r>
  <r>
    <n v="728"/>
    <x v="1"/>
    <x v="1"/>
    <d v="2024-08-22T00:00:00"/>
    <s v="Thursday"/>
    <x v="2"/>
    <n v="107"/>
    <n v="18"/>
    <n v="3476"/>
    <n v="180"/>
    <n v="353"/>
    <n v="226"/>
    <n v="1.21835443037974"/>
    <s v="low"/>
    <n v="0"/>
  </r>
  <r>
    <n v="729"/>
    <x v="1"/>
    <x v="0"/>
    <d v="2024-10-10T00:00:00"/>
    <s v="Thursday"/>
    <x v="11"/>
    <n v="256"/>
    <n v="8"/>
    <n v="1931"/>
    <n v="93"/>
    <n v="423"/>
    <n v="535"/>
    <n v="1.5442775763852901"/>
    <s v="low"/>
    <n v="0"/>
  </r>
  <r>
    <n v="730"/>
    <x v="1"/>
    <x v="2"/>
    <d v="2024-01-08T00:00:00"/>
    <s v="Monday"/>
    <x v="16"/>
    <n v="96"/>
    <n v="18"/>
    <n v="3557"/>
    <n v="758"/>
    <n v="254"/>
    <n v="254"/>
    <n v="1.3559179083497299"/>
    <s v="low"/>
    <n v="0"/>
  </r>
  <r>
    <n v="731"/>
    <x v="2"/>
    <x v="1"/>
    <d v="2024-01-03T00:00:00"/>
    <s v="Wednesday"/>
    <x v="14"/>
    <n v="237"/>
    <n v="16"/>
    <n v="3472"/>
    <n v="50"/>
    <n v="43"/>
    <n v="482"/>
    <n v="1.1656105990783401"/>
    <s v="low"/>
    <n v="0"/>
  </r>
  <r>
    <n v="732"/>
    <x v="1"/>
    <x v="0"/>
    <d v="2024-07-20T00:00:00"/>
    <s v="Saturday"/>
    <x v="3"/>
    <n v="26"/>
    <n v="13"/>
    <n v="3976"/>
    <n v="718"/>
    <n v="102"/>
    <n v="464"/>
    <n v="1.32293762575452"/>
    <s v="low"/>
    <n v="0"/>
  </r>
  <r>
    <n v="733"/>
    <x v="2"/>
    <x v="0"/>
    <d v="2024-04-21T00:00:00"/>
    <s v="Sunday"/>
    <x v="1"/>
    <n v="265"/>
    <n v="9"/>
    <n v="1137"/>
    <n v="372"/>
    <n v="304"/>
    <n v="245"/>
    <n v="1.81002638522427"/>
    <s v="average"/>
    <n v="0"/>
  </r>
  <r>
    <n v="734"/>
    <x v="1"/>
    <x v="2"/>
    <d v="2024-03-23T00:00:00"/>
    <s v="Saturday"/>
    <x v="9"/>
    <n v="227"/>
    <n v="5"/>
    <n v="3812"/>
    <n v="589"/>
    <n v="599"/>
    <n v="25"/>
    <n v="1.31820566631689"/>
    <s v="low"/>
    <n v="0"/>
  </r>
  <r>
    <n v="735"/>
    <x v="0"/>
    <x v="2"/>
    <d v="2024-07-08T00:00:00"/>
    <s v="Monday"/>
    <x v="6"/>
    <n v="291"/>
    <n v="1"/>
    <n v="3853"/>
    <n v="725"/>
    <n v="3"/>
    <n v="643"/>
    <n v="1.35582662860109"/>
    <s v="low"/>
    <n v="0"/>
  </r>
  <r>
    <n v="736"/>
    <x v="2"/>
    <x v="1"/>
    <d v="2024-05-31T00:00:00"/>
    <s v="Friday"/>
    <x v="10"/>
    <n v="61"/>
    <n v="19"/>
    <n v="3538"/>
    <n v="775"/>
    <n v="278"/>
    <n v="628"/>
    <n v="1.4751271905031"/>
    <s v="low"/>
    <n v="0"/>
  </r>
  <r>
    <n v="737"/>
    <x v="0"/>
    <x v="2"/>
    <d v="2024-06-20T00:00:00"/>
    <s v="Thursday"/>
    <x v="5"/>
    <n v="258"/>
    <n v="19"/>
    <n v="499"/>
    <n v="532"/>
    <n v="374"/>
    <n v="53"/>
    <n v="2.9218436873747402"/>
    <s v="high"/>
    <n v="0"/>
  </r>
  <r>
    <n v="738"/>
    <x v="2"/>
    <x v="1"/>
    <d v="2024-01-21T00:00:00"/>
    <s v="Sunday"/>
    <x v="3"/>
    <n v="124"/>
    <n v="4"/>
    <n v="3044"/>
    <n v="380"/>
    <n v="181"/>
    <n v="664"/>
    <n v="1.40243101182654"/>
    <s v="low"/>
    <n v="0"/>
  </r>
  <r>
    <n v="739"/>
    <x v="1"/>
    <x v="1"/>
    <d v="2024-06-20T00:00:00"/>
    <s v="Thursday"/>
    <x v="10"/>
    <n v="135"/>
    <n v="10"/>
    <n v="2004"/>
    <n v="557"/>
    <n v="118"/>
    <n v="665"/>
    <n v="1.6686626746506901"/>
    <s v="average"/>
    <n v="0"/>
  </r>
  <r>
    <n v="740"/>
    <x v="0"/>
    <x v="0"/>
    <d v="2024-06-29T00:00:00"/>
    <s v="Saturday"/>
    <x v="5"/>
    <n v="196"/>
    <n v="14"/>
    <n v="2240"/>
    <n v="520"/>
    <n v="435"/>
    <n v="284"/>
    <n v="1.5531250000000001"/>
    <s v="low"/>
    <n v="0"/>
  </r>
  <r>
    <n v="741"/>
    <x v="2"/>
    <x v="1"/>
    <d v="2024-09-05T00:00:00"/>
    <s v="Thursday"/>
    <x v="13"/>
    <n v="169"/>
    <n v="14"/>
    <n v="4157"/>
    <n v="544"/>
    <n v="127"/>
    <n v="482"/>
    <n v="1.27736348328121"/>
    <s v="low"/>
    <n v="0"/>
  </r>
  <r>
    <n v="742"/>
    <x v="0"/>
    <x v="2"/>
    <d v="2024-07-07T00:00:00"/>
    <s v="Sunday"/>
    <x v="2"/>
    <n v="167"/>
    <n v="2"/>
    <n v="587"/>
    <n v="197"/>
    <n v="470"/>
    <n v="90"/>
    <n v="2.28960817717206"/>
    <s v="average"/>
    <n v="0"/>
  </r>
  <r>
    <n v="743"/>
    <x v="1"/>
    <x v="0"/>
    <d v="2024-02-25T00:00:00"/>
    <s v="Sunday"/>
    <x v="10"/>
    <n v="286"/>
    <n v="20"/>
    <n v="1399"/>
    <n v="287"/>
    <n v="116"/>
    <n v="152"/>
    <n v="1.39671193709792"/>
    <s v="low"/>
    <n v="0"/>
  </r>
  <r>
    <n v="744"/>
    <x v="1"/>
    <x v="2"/>
    <d v="2024-01-12T00:00:00"/>
    <s v="Friday"/>
    <x v="8"/>
    <n v="247"/>
    <n v="20"/>
    <n v="2451"/>
    <n v="431"/>
    <n v="556"/>
    <n v="136"/>
    <n v="1.4581803345573201"/>
    <s v="low"/>
    <n v="0"/>
  </r>
  <r>
    <n v="745"/>
    <x v="0"/>
    <x v="1"/>
    <d v="2024-01-11T00:00:00"/>
    <s v="Thursday"/>
    <x v="6"/>
    <n v="230"/>
    <n v="18"/>
    <n v="2438"/>
    <n v="198"/>
    <n v="66"/>
    <n v="23"/>
    <n v="1.1177194421657"/>
    <s v="low"/>
    <n v="0"/>
  </r>
  <r>
    <n v="746"/>
    <x v="1"/>
    <x v="2"/>
    <d v="2024-06-24T00:00:00"/>
    <s v="Monday"/>
    <x v="4"/>
    <n v="87"/>
    <n v="9"/>
    <n v="2723"/>
    <n v="502"/>
    <n v="544"/>
    <n v="562"/>
    <n v="1.5905251560778499"/>
    <s v="low"/>
    <n v="0"/>
  </r>
  <r>
    <n v="747"/>
    <x v="1"/>
    <x v="0"/>
    <d v="2024-03-28T00:00:00"/>
    <s v="Thursday"/>
    <x v="9"/>
    <n v="200"/>
    <n v="9"/>
    <n v="2179"/>
    <n v="237"/>
    <n v="497"/>
    <n v="381"/>
    <n v="1.51170261587884"/>
    <s v="low"/>
    <n v="0"/>
  </r>
  <r>
    <n v="748"/>
    <x v="1"/>
    <x v="0"/>
    <d v="2024-08-21T00:00:00"/>
    <s v="Wednesday"/>
    <x v="2"/>
    <n v="98"/>
    <n v="5"/>
    <n v="1412"/>
    <n v="638"/>
    <n v="166"/>
    <n v="549"/>
    <n v="1.9582152974504199"/>
    <s v="average"/>
    <n v="0"/>
  </r>
  <r>
    <n v="749"/>
    <x v="0"/>
    <x v="2"/>
    <d v="2024-05-01T00:00:00"/>
    <s v="Wednesday"/>
    <x v="15"/>
    <n v="209"/>
    <n v="5"/>
    <n v="1007"/>
    <n v="47"/>
    <n v="326"/>
    <n v="589"/>
    <n v="1.9553128103277"/>
    <s v="average"/>
    <n v="0"/>
  </r>
  <r>
    <n v="750"/>
    <x v="1"/>
    <x v="2"/>
    <d v="2024-04-15T00:00:00"/>
    <s v="Monday"/>
    <x v="9"/>
    <n v="210"/>
    <n v="14"/>
    <n v="4657"/>
    <n v="729"/>
    <n v="37"/>
    <n v="682"/>
    <n v="1.31092978312218"/>
    <s v="low"/>
    <n v="0"/>
  </r>
  <r>
    <n v="751"/>
    <x v="0"/>
    <x v="2"/>
    <d v="2024-10-03T00:00:00"/>
    <s v="Thursday"/>
    <x v="11"/>
    <n v="94"/>
    <n v="14"/>
    <n v="1381"/>
    <n v="551"/>
    <n v="310"/>
    <n v="125"/>
    <n v="1.7139753801593001"/>
    <s v="average"/>
    <n v="0"/>
  </r>
  <r>
    <n v="752"/>
    <x v="1"/>
    <x v="1"/>
    <d v="2024-06-12T00:00:00"/>
    <s v="Wednesday"/>
    <x v="4"/>
    <n v="262"/>
    <n v="9"/>
    <n v="1328"/>
    <n v="9"/>
    <n v="561"/>
    <n v="520"/>
    <n v="1.82078313253012"/>
    <s v="average"/>
    <n v="0"/>
  </r>
  <r>
    <n v="753"/>
    <x v="2"/>
    <x v="0"/>
    <d v="2024-10-20T00:00:00"/>
    <s v="Sunday"/>
    <x v="11"/>
    <n v="40"/>
    <n v="4"/>
    <n v="1254"/>
    <n v="583"/>
    <n v="454"/>
    <n v="347"/>
    <n v="2.1036682615629898"/>
    <s v="average"/>
    <n v="0"/>
  </r>
  <r>
    <n v="754"/>
    <x v="2"/>
    <x v="0"/>
    <d v="2024-10-09T00:00:00"/>
    <s v="Wednesday"/>
    <x v="17"/>
    <n v="202"/>
    <n v="2"/>
    <n v="1007"/>
    <n v="320"/>
    <n v="27"/>
    <n v="412"/>
    <n v="1.7537239324726901"/>
    <s v="average"/>
    <n v="0"/>
  </r>
  <r>
    <n v="755"/>
    <x v="2"/>
    <x v="0"/>
    <d v="2024-06-16T00:00:00"/>
    <s v="Sunday"/>
    <x v="15"/>
    <n v="120"/>
    <n v="0"/>
    <n v="500"/>
    <n v="627"/>
    <n v="201"/>
    <n v="598"/>
    <n v="3.8519999999999999"/>
    <s v="high"/>
    <n v="0"/>
  </r>
  <r>
    <n v="756"/>
    <x v="1"/>
    <x v="0"/>
    <d v="2024-02-12T00:00:00"/>
    <s v="Monday"/>
    <x v="11"/>
    <n v="182"/>
    <n v="19"/>
    <n v="4460"/>
    <n v="461"/>
    <n v="91"/>
    <n v="525"/>
    <n v="1.2414798206277999"/>
    <s v="low"/>
    <n v="0"/>
  </r>
  <r>
    <n v="757"/>
    <x v="0"/>
    <x v="1"/>
    <d v="2024-09-18T00:00:00"/>
    <s v="Wednesday"/>
    <x v="8"/>
    <n v="209"/>
    <n v="12"/>
    <n v="509"/>
    <n v="687"/>
    <n v="371"/>
    <n v="408"/>
    <n v="3.8801571709233702"/>
    <s v="high"/>
    <n v="0"/>
  </r>
  <r>
    <n v="758"/>
    <x v="1"/>
    <x v="2"/>
    <d v="2024-07-09T00:00:00"/>
    <s v="Tuesday"/>
    <x v="13"/>
    <n v="64"/>
    <n v="6"/>
    <n v="149"/>
    <n v="296"/>
    <n v="355"/>
    <n v="360"/>
    <n v="7.7852348993288496"/>
    <s v="high"/>
    <n v="0"/>
  </r>
  <r>
    <n v="759"/>
    <x v="2"/>
    <x v="2"/>
    <d v="2024-08-15T00:00:00"/>
    <s v="Thursday"/>
    <x v="8"/>
    <n v="91"/>
    <n v="18"/>
    <n v="3454"/>
    <n v="458"/>
    <n v="297"/>
    <n v="168"/>
    <n v="1.26722640416907"/>
    <s v="low"/>
    <n v="0"/>
  </r>
  <r>
    <n v="760"/>
    <x v="2"/>
    <x v="2"/>
    <d v="2024-02-14T00:00:00"/>
    <s v="Wednesday"/>
    <x v="3"/>
    <n v="212"/>
    <n v="2"/>
    <n v="1226"/>
    <n v="217"/>
    <n v="312"/>
    <n v="487"/>
    <n v="1.8287112561174499"/>
    <s v="average"/>
    <n v="0"/>
  </r>
  <r>
    <n v="761"/>
    <x v="0"/>
    <x v="1"/>
    <d v="2024-01-04T00:00:00"/>
    <s v="Thursday"/>
    <x v="17"/>
    <n v="90"/>
    <n v="6"/>
    <n v="3404"/>
    <n v="659"/>
    <n v="281"/>
    <n v="425"/>
    <n v="1.4009988249118599"/>
    <s v="low"/>
    <n v="0"/>
  </r>
  <r>
    <n v="762"/>
    <x v="0"/>
    <x v="2"/>
    <d v="2024-04-05T00:00:00"/>
    <s v="Friday"/>
    <x v="4"/>
    <n v="272"/>
    <n v="17"/>
    <n v="3177"/>
    <n v="301"/>
    <n v="569"/>
    <n v="503"/>
    <n v="1.43216871262197"/>
    <s v="low"/>
    <n v="0"/>
  </r>
  <r>
    <n v="763"/>
    <x v="1"/>
    <x v="2"/>
    <d v="2024-08-25T00:00:00"/>
    <s v="Sunday"/>
    <x v="11"/>
    <n v="83"/>
    <n v="20"/>
    <n v="1889"/>
    <n v="32"/>
    <n v="4"/>
    <n v="158"/>
    <n v="1.10269984118581"/>
    <s v="low"/>
    <n v="0"/>
  </r>
  <r>
    <n v="764"/>
    <x v="0"/>
    <x v="0"/>
    <d v="2024-05-27T00:00:00"/>
    <s v="Monday"/>
    <x v="0"/>
    <n v="161"/>
    <n v="15"/>
    <n v="3467"/>
    <n v="188"/>
    <n v="505"/>
    <n v="661"/>
    <n v="1.3905393712142999"/>
    <s v="low"/>
    <n v="0"/>
  </r>
  <r>
    <n v="765"/>
    <x v="1"/>
    <x v="1"/>
    <d v="2024-02-04T00:00:00"/>
    <s v="Sunday"/>
    <x v="8"/>
    <n v="152"/>
    <n v="20"/>
    <n v="4956"/>
    <n v="768"/>
    <n v="372"/>
    <n v="596"/>
    <n v="1.3502824858757001"/>
    <s v="low"/>
    <n v="0"/>
  </r>
  <r>
    <n v="766"/>
    <x v="0"/>
    <x v="2"/>
    <d v="2024-08-31T00:00:00"/>
    <s v="Saturday"/>
    <x v="2"/>
    <n v="49"/>
    <n v="4"/>
    <n v="1029"/>
    <n v="387"/>
    <n v="526"/>
    <n v="590"/>
    <n v="2.4606413994168999"/>
    <s v="high"/>
    <n v="0"/>
  </r>
  <r>
    <n v="767"/>
    <x v="0"/>
    <x v="0"/>
    <d v="2024-06-12T00:00:00"/>
    <s v="Wednesday"/>
    <x v="15"/>
    <n v="204"/>
    <n v="13"/>
    <n v="3826"/>
    <n v="714"/>
    <n v="140"/>
    <n v="366"/>
    <n v="1.31887088342916"/>
    <s v="low"/>
    <n v="0"/>
  </r>
  <r>
    <n v="768"/>
    <x v="2"/>
    <x v="0"/>
    <d v="2024-07-01T00:00:00"/>
    <s v="Monday"/>
    <x v="12"/>
    <n v="119"/>
    <n v="20"/>
    <n v="449"/>
    <n v="301"/>
    <n v="300"/>
    <n v="543"/>
    <n v="3.5478841870824001"/>
    <s v="high"/>
    <n v="0"/>
  </r>
  <r>
    <n v="769"/>
    <x v="1"/>
    <x v="2"/>
    <d v="2024-04-03T00:00:00"/>
    <s v="Wednesday"/>
    <x v="4"/>
    <n v="158"/>
    <n v="11"/>
    <n v="824"/>
    <n v="618"/>
    <n v="173"/>
    <n v="557"/>
    <n v="2.6359223300970802"/>
    <s v="high"/>
    <n v="0"/>
  </r>
  <r>
    <n v="770"/>
    <x v="0"/>
    <x v="0"/>
    <d v="2024-02-19T00:00:00"/>
    <s v="Monday"/>
    <x v="12"/>
    <n v="164"/>
    <n v="11"/>
    <n v="4427"/>
    <n v="598"/>
    <n v="362"/>
    <n v="148"/>
    <n v="1.25028235825615"/>
    <s v="low"/>
    <n v="0"/>
  </r>
  <r>
    <n v="771"/>
    <x v="0"/>
    <x v="0"/>
    <d v="2024-09-05T00:00:00"/>
    <s v="Thursday"/>
    <x v="12"/>
    <n v="133"/>
    <n v="6"/>
    <n v="3425"/>
    <n v="353"/>
    <n v="168"/>
    <n v="105"/>
    <n v="1.18277372262773"/>
    <s v="low"/>
    <n v="0"/>
  </r>
  <r>
    <n v="772"/>
    <x v="1"/>
    <x v="2"/>
    <d v="2024-10-13T00:00:00"/>
    <s v="Sunday"/>
    <x v="3"/>
    <n v="79"/>
    <n v="4"/>
    <n v="4356"/>
    <n v="549"/>
    <n v="566"/>
    <n v="117"/>
    <n v="1.28282828282828"/>
    <s v="low"/>
    <n v="0"/>
  </r>
  <r>
    <n v="773"/>
    <x v="0"/>
    <x v="2"/>
    <d v="2024-01-09T00:00:00"/>
    <s v="Tuesday"/>
    <x v="12"/>
    <n v="195"/>
    <n v="5"/>
    <n v="3978"/>
    <n v="361"/>
    <n v="321"/>
    <n v="372"/>
    <n v="1.26495726495726"/>
    <s v="low"/>
    <n v="0"/>
  </r>
  <r>
    <n v="774"/>
    <x v="0"/>
    <x v="1"/>
    <d v="2024-06-04T00:00:00"/>
    <s v="Tuesday"/>
    <x v="9"/>
    <n v="136"/>
    <n v="9"/>
    <n v="285"/>
    <n v="767"/>
    <n v="123"/>
    <n v="228"/>
    <n v="4.9228070175438496"/>
    <s v="high"/>
    <n v="0"/>
  </r>
  <r>
    <n v="775"/>
    <x v="2"/>
    <x v="0"/>
    <d v="2024-03-05T00:00:00"/>
    <s v="Tuesday"/>
    <x v="3"/>
    <n v="29"/>
    <n v="15"/>
    <n v="1769"/>
    <n v="138"/>
    <n v="82"/>
    <n v="436"/>
    <n v="1.3708309779536401"/>
    <s v="low"/>
    <n v="0"/>
  </r>
  <r>
    <n v="776"/>
    <x v="2"/>
    <x v="1"/>
    <d v="2024-08-08T00:00:00"/>
    <s v="Thursday"/>
    <x v="14"/>
    <n v="260"/>
    <n v="3"/>
    <n v="398"/>
    <n v="206"/>
    <n v="112"/>
    <n v="34"/>
    <n v="1.8844221105527601"/>
    <s v="average"/>
    <n v="0"/>
  </r>
  <r>
    <n v="777"/>
    <x v="0"/>
    <x v="0"/>
    <d v="2024-05-09T00:00:00"/>
    <s v="Thursday"/>
    <x v="0"/>
    <n v="125"/>
    <n v="18"/>
    <n v="404"/>
    <n v="72"/>
    <n v="310"/>
    <n v="684"/>
    <n v="3.6386138613861299"/>
    <s v="high"/>
    <n v="0"/>
  </r>
  <r>
    <n v="778"/>
    <x v="0"/>
    <x v="0"/>
    <d v="2024-04-12T00:00:00"/>
    <s v="Friday"/>
    <x v="15"/>
    <n v="198"/>
    <n v="11"/>
    <n v="1563"/>
    <n v="691"/>
    <n v="361"/>
    <n v="30"/>
    <n v="1.69225847728726"/>
    <s v="average"/>
    <n v="0"/>
  </r>
  <r>
    <n v="779"/>
    <x v="2"/>
    <x v="0"/>
    <d v="2024-03-23T00:00:00"/>
    <s v="Saturday"/>
    <x v="0"/>
    <n v="27"/>
    <n v="16"/>
    <n v="4151"/>
    <n v="751"/>
    <n v="249"/>
    <n v="518"/>
    <n v="1.36569501324981"/>
    <s v="low"/>
    <n v="0"/>
  </r>
  <r>
    <n v="780"/>
    <x v="0"/>
    <x v="1"/>
    <d v="2024-04-21T00:00:00"/>
    <s v="Sunday"/>
    <x v="0"/>
    <n v="129"/>
    <n v="16"/>
    <n v="1619"/>
    <n v="293"/>
    <n v="177"/>
    <n v="551"/>
    <n v="1.6306361951822099"/>
    <s v="average"/>
    <n v="0"/>
  </r>
  <r>
    <n v="781"/>
    <x v="2"/>
    <x v="0"/>
    <d v="2024-08-31T00:00:00"/>
    <s v="Saturday"/>
    <x v="2"/>
    <n v="201"/>
    <n v="12"/>
    <n v="3052"/>
    <n v="719"/>
    <n v="191"/>
    <n v="451"/>
    <n v="1.4459370904325"/>
    <s v="low"/>
    <n v="0"/>
  </r>
  <r>
    <n v="782"/>
    <x v="0"/>
    <x v="2"/>
    <d v="2024-08-05T00:00:00"/>
    <s v="Monday"/>
    <x v="0"/>
    <n v="258"/>
    <n v="3"/>
    <n v="1805"/>
    <n v="531"/>
    <n v="235"/>
    <n v="418"/>
    <n v="1.65595567867036"/>
    <s v="average"/>
    <n v="0"/>
  </r>
  <r>
    <n v="783"/>
    <x v="2"/>
    <x v="1"/>
    <d v="2024-09-23T00:00:00"/>
    <s v="Monday"/>
    <x v="14"/>
    <n v="62"/>
    <n v="10"/>
    <n v="1163"/>
    <n v="512"/>
    <n v="371"/>
    <n v="296"/>
    <n v="2.0137575236457401"/>
    <s v="average"/>
    <n v="0"/>
  </r>
  <r>
    <n v="784"/>
    <x v="2"/>
    <x v="1"/>
    <d v="2024-09-09T00:00:00"/>
    <s v="Monday"/>
    <x v="4"/>
    <n v="247"/>
    <n v="7"/>
    <n v="997"/>
    <n v="399"/>
    <n v="292"/>
    <n v="468"/>
    <n v="2.1624874623871602"/>
    <s v="average"/>
    <n v="0"/>
  </r>
  <r>
    <n v="785"/>
    <x v="0"/>
    <x v="2"/>
    <d v="2024-10-10T00:00:00"/>
    <s v="Thursday"/>
    <x v="5"/>
    <n v="111"/>
    <n v="0"/>
    <n v="3386"/>
    <n v="302"/>
    <n v="440"/>
    <n v="194"/>
    <n v="1.27643236857649"/>
    <s v="low"/>
    <n v="0"/>
  </r>
  <r>
    <n v="786"/>
    <x v="2"/>
    <x v="1"/>
    <d v="2024-09-08T00:00:00"/>
    <s v="Sunday"/>
    <x v="3"/>
    <n v="81"/>
    <n v="4"/>
    <n v="911"/>
    <n v="410"/>
    <n v="450"/>
    <n v="536"/>
    <n v="2.53238199780461"/>
    <s v="high"/>
    <n v="0"/>
  </r>
  <r>
    <n v="787"/>
    <x v="0"/>
    <x v="2"/>
    <d v="2024-07-21T00:00:00"/>
    <s v="Sunday"/>
    <x v="10"/>
    <n v="193"/>
    <n v="6"/>
    <n v="3331"/>
    <n v="716"/>
    <n v="106"/>
    <n v="173"/>
    <n v="1.2987090963674499"/>
    <s v="low"/>
    <n v="0"/>
  </r>
  <r>
    <n v="788"/>
    <x v="1"/>
    <x v="1"/>
    <d v="2024-07-25T00:00:00"/>
    <s v="Thursday"/>
    <x v="15"/>
    <n v="224"/>
    <n v="11"/>
    <n v="1055"/>
    <n v="243"/>
    <n v="436"/>
    <n v="512"/>
    <n v="2.1289099526066302"/>
    <s v="average"/>
    <n v="0"/>
  </r>
  <r>
    <n v="789"/>
    <x v="1"/>
    <x v="0"/>
    <d v="2024-08-31T00:00:00"/>
    <s v="Saturday"/>
    <x v="17"/>
    <n v="75"/>
    <n v="3"/>
    <n v="4991"/>
    <n v="419"/>
    <n v="498"/>
    <n v="524"/>
    <n v="1.2887196954518101"/>
    <s v="low"/>
    <n v="0"/>
  </r>
  <r>
    <n v="790"/>
    <x v="0"/>
    <x v="0"/>
    <d v="2024-05-08T00:00:00"/>
    <s v="Wednesday"/>
    <x v="0"/>
    <n v="47"/>
    <n v="2"/>
    <n v="4058"/>
    <n v="514"/>
    <n v="238"/>
    <n v="644"/>
    <n v="1.34401182848693"/>
    <s v="low"/>
    <n v="0"/>
  </r>
  <r>
    <n v="791"/>
    <x v="2"/>
    <x v="2"/>
    <d v="2024-09-12T00:00:00"/>
    <s v="Thursday"/>
    <x v="9"/>
    <n v="175"/>
    <n v="19"/>
    <n v="269"/>
    <n v="188"/>
    <n v="393"/>
    <n v="620"/>
    <n v="5.4646840148698796"/>
    <s v="high"/>
    <n v="0"/>
  </r>
  <r>
    <n v="792"/>
    <x v="1"/>
    <x v="0"/>
    <d v="2024-02-19T00:00:00"/>
    <s v="Monday"/>
    <x v="4"/>
    <n v="274"/>
    <n v="15"/>
    <n v="676"/>
    <n v="681"/>
    <n v="534"/>
    <n v="505"/>
    <n v="3.54437869822485"/>
    <s v="high"/>
    <n v="0"/>
  </r>
  <r>
    <n v="793"/>
    <x v="2"/>
    <x v="0"/>
    <d v="2024-09-15T00:00:00"/>
    <s v="Sunday"/>
    <x v="14"/>
    <n v="240"/>
    <n v="3"/>
    <n v="2193"/>
    <n v="560"/>
    <n v="353"/>
    <n v="554"/>
    <n v="1.6689466484268101"/>
    <s v="average"/>
    <n v="0"/>
  </r>
  <r>
    <n v="794"/>
    <x v="1"/>
    <x v="0"/>
    <d v="2024-07-15T00:00:00"/>
    <s v="Monday"/>
    <x v="14"/>
    <n v="110"/>
    <n v="17"/>
    <n v="3737"/>
    <n v="327"/>
    <n v="387"/>
    <n v="454"/>
    <n v="1.3125501739363099"/>
    <s v="low"/>
    <n v="0"/>
  </r>
  <r>
    <n v="795"/>
    <x v="1"/>
    <x v="1"/>
    <d v="2024-06-04T00:00:00"/>
    <s v="Tuesday"/>
    <x v="7"/>
    <n v="269"/>
    <n v="3"/>
    <n v="1394"/>
    <n v="508"/>
    <n v="443"/>
    <n v="138"/>
    <n v="1.78120516499282"/>
    <s v="average"/>
    <n v="0"/>
  </r>
  <r>
    <n v="796"/>
    <x v="2"/>
    <x v="2"/>
    <d v="2024-10-18T00:00:00"/>
    <s v="Friday"/>
    <x v="11"/>
    <n v="100"/>
    <n v="16"/>
    <n v="4068"/>
    <n v="680"/>
    <n v="569"/>
    <n v="553"/>
    <n v="1.44296951819075"/>
    <s v="low"/>
    <n v="0"/>
  </r>
  <r>
    <n v="797"/>
    <x v="1"/>
    <x v="1"/>
    <d v="2024-01-29T00:00:00"/>
    <s v="Monday"/>
    <x v="5"/>
    <n v="165"/>
    <n v="10"/>
    <n v="3256"/>
    <n v="274"/>
    <n v="508"/>
    <n v="606"/>
    <n v="1.42628992628992"/>
    <s v="low"/>
    <n v="0"/>
  </r>
  <r>
    <n v="798"/>
    <x v="1"/>
    <x v="2"/>
    <d v="2024-02-01T00:00:00"/>
    <s v="Thursday"/>
    <x v="1"/>
    <n v="194"/>
    <n v="12"/>
    <n v="280"/>
    <n v="609"/>
    <n v="48"/>
    <n v="132"/>
    <n v="3.81785714285714"/>
    <s v="high"/>
    <n v="0"/>
  </r>
  <r>
    <n v="799"/>
    <x v="1"/>
    <x v="0"/>
    <d v="2024-02-19T00:00:00"/>
    <s v="Monday"/>
    <x v="16"/>
    <n v="146"/>
    <n v="7"/>
    <n v="3557"/>
    <n v="358"/>
    <n v="367"/>
    <n v="422"/>
    <n v="1.3224627495080099"/>
    <s v="low"/>
    <n v="0"/>
  </r>
  <r>
    <n v="800"/>
    <x v="0"/>
    <x v="2"/>
    <d v="2024-06-08T00:00:00"/>
    <s v="Saturday"/>
    <x v="2"/>
    <n v="30"/>
    <n v="17"/>
    <n v="4904"/>
    <n v="91"/>
    <n v="69"/>
    <n v="313"/>
    <n v="1.0964518760195701"/>
    <s v="low"/>
    <n v="0"/>
  </r>
  <r>
    <n v="801"/>
    <x v="2"/>
    <x v="2"/>
    <d v="2024-06-15T00:00:00"/>
    <s v="Saturday"/>
    <x v="15"/>
    <n v="30"/>
    <n v="15"/>
    <n v="356"/>
    <n v="476"/>
    <n v="434"/>
    <n v="582"/>
    <n v="5.1910112359550498"/>
    <s v="high"/>
    <n v="0"/>
  </r>
  <r>
    <n v="802"/>
    <x v="1"/>
    <x v="1"/>
    <d v="2024-01-12T00:00:00"/>
    <s v="Friday"/>
    <x v="0"/>
    <n v="270"/>
    <n v="3"/>
    <n v="2642"/>
    <n v="391"/>
    <n v="586"/>
    <n v="400"/>
    <n v="1.52119606358819"/>
    <s v="low"/>
    <n v="0"/>
  </r>
  <r>
    <n v="803"/>
    <x v="1"/>
    <x v="0"/>
    <d v="2024-04-15T00:00:00"/>
    <s v="Monday"/>
    <x v="4"/>
    <n v="206"/>
    <n v="13"/>
    <n v="2802"/>
    <n v="513"/>
    <n v="516"/>
    <n v="684"/>
    <n v="1.61134903640256"/>
    <s v="average"/>
    <n v="0"/>
  </r>
  <r>
    <n v="804"/>
    <x v="0"/>
    <x v="2"/>
    <d v="2024-04-13T00:00:00"/>
    <s v="Saturday"/>
    <x v="15"/>
    <n v="44"/>
    <n v="9"/>
    <n v="4121"/>
    <n v="655"/>
    <n v="79"/>
    <n v="549"/>
    <n v="1.3113322009221"/>
    <s v="low"/>
    <n v="0"/>
  </r>
  <r>
    <n v="805"/>
    <x v="0"/>
    <x v="1"/>
    <d v="2024-10-20T00:00:00"/>
    <s v="Sunday"/>
    <x v="6"/>
    <n v="159"/>
    <n v="2"/>
    <n v="3343"/>
    <n v="236"/>
    <n v="96"/>
    <n v="593"/>
    <n v="1.27669757702662"/>
    <s v="low"/>
    <n v="0"/>
  </r>
  <r>
    <n v="806"/>
    <x v="1"/>
    <x v="0"/>
    <d v="2024-10-17T00:00:00"/>
    <s v="Thursday"/>
    <x v="4"/>
    <n v="278"/>
    <n v="9"/>
    <n v="4400"/>
    <n v="491"/>
    <n v="439"/>
    <n v="215"/>
    <n v="1.2602272727272701"/>
    <s v="low"/>
    <n v="0"/>
  </r>
  <r>
    <n v="807"/>
    <x v="1"/>
    <x v="2"/>
    <d v="2024-08-09T00:00:00"/>
    <s v="Friday"/>
    <x v="12"/>
    <n v="252"/>
    <n v="17"/>
    <n v="4473"/>
    <n v="325"/>
    <n v="206"/>
    <n v="425"/>
    <n v="1.2137268052761001"/>
    <s v="low"/>
    <n v="0"/>
  </r>
  <r>
    <n v="808"/>
    <x v="2"/>
    <x v="2"/>
    <d v="2024-04-02T00:00:00"/>
    <s v="Tuesday"/>
    <x v="10"/>
    <n v="259"/>
    <n v="8"/>
    <n v="202"/>
    <n v="647"/>
    <n v="530"/>
    <n v="192"/>
    <n v="7.7772277227722704"/>
    <s v="high"/>
    <n v="0"/>
  </r>
  <r>
    <n v="809"/>
    <x v="0"/>
    <x v="2"/>
    <d v="2024-09-29T00:00:00"/>
    <s v="Sunday"/>
    <x v="17"/>
    <n v="95"/>
    <n v="7"/>
    <n v="3603"/>
    <n v="584"/>
    <n v="63"/>
    <n v="535"/>
    <n v="1.3280599500416299"/>
    <s v="low"/>
    <n v="0"/>
  </r>
  <r>
    <n v="810"/>
    <x v="0"/>
    <x v="1"/>
    <d v="2024-03-18T00:00:00"/>
    <s v="Monday"/>
    <x v="10"/>
    <n v="231"/>
    <n v="8"/>
    <n v="2509"/>
    <n v="450"/>
    <n v="422"/>
    <n v="327"/>
    <n v="1.4778796333200399"/>
    <s v="low"/>
    <n v="0"/>
  </r>
  <r>
    <n v="811"/>
    <x v="0"/>
    <x v="0"/>
    <d v="2024-05-26T00:00:00"/>
    <s v="Sunday"/>
    <x v="9"/>
    <n v="118"/>
    <n v="0"/>
    <n v="1365"/>
    <n v="267"/>
    <n v="243"/>
    <n v="416"/>
    <n v="1.67838827838827"/>
    <s v="average"/>
    <n v="0"/>
  </r>
  <r>
    <n v="812"/>
    <x v="1"/>
    <x v="2"/>
    <d v="2024-05-05T00:00:00"/>
    <s v="Sunday"/>
    <x v="14"/>
    <n v="123"/>
    <n v="5"/>
    <n v="2593"/>
    <n v="480"/>
    <n v="499"/>
    <n v="574"/>
    <n v="1.5989201696876201"/>
    <s v="low"/>
    <n v="0"/>
  </r>
  <r>
    <n v="813"/>
    <x v="2"/>
    <x v="1"/>
    <d v="2024-05-19T00:00:00"/>
    <s v="Sunday"/>
    <x v="2"/>
    <n v="41"/>
    <n v="15"/>
    <n v="1167"/>
    <n v="34"/>
    <n v="266"/>
    <n v="285"/>
    <n v="1.5012853470437"/>
    <s v="low"/>
    <n v="0"/>
  </r>
  <r>
    <n v="814"/>
    <x v="1"/>
    <x v="0"/>
    <d v="2024-01-11T00:00:00"/>
    <s v="Thursday"/>
    <x v="8"/>
    <n v="206"/>
    <n v="2"/>
    <n v="503"/>
    <n v="90"/>
    <n v="323"/>
    <n v="617"/>
    <n v="3.04771371769383"/>
    <s v="high"/>
    <n v="0"/>
  </r>
  <r>
    <n v="815"/>
    <x v="2"/>
    <x v="1"/>
    <d v="2024-07-22T00:00:00"/>
    <s v="Monday"/>
    <x v="0"/>
    <n v="287"/>
    <n v="18"/>
    <n v="1201"/>
    <n v="246"/>
    <n v="116"/>
    <n v="585"/>
    <n v="1.78850957535387"/>
    <s v="average"/>
    <n v="0"/>
  </r>
  <r>
    <n v="816"/>
    <x v="2"/>
    <x v="0"/>
    <d v="2024-09-25T00:00:00"/>
    <s v="Wednesday"/>
    <x v="6"/>
    <n v="188"/>
    <n v="18"/>
    <n v="2112"/>
    <n v="513"/>
    <n v="94"/>
    <n v="244"/>
    <n v="1.4029356060606"/>
    <s v="low"/>
    <n v="0"/>
  </r>
  <r>
    <n v="817"/>
    <x v="0"/>
    <x v="0"/>
    <d v="2024-07-18T00:00:00"/>
    <s v="Thursday"/>
    <x v="10"/>
    <n v="160"/>
    <n v="14"/>
    <n v="1982"/>
    <n v="438"/>
    <n v="225"/>
    <n v="148"/>
    <n v="1.4091826437941399"/>
    <s v="low"/>
    <n v="0"/>
  </r>
  <r>
    <n v="818"/>
    <x v="2"/>
    <x v="2"/>
    <d v="2024-07-28T00:00:00"/>
    <s v="Sunday"/>
    <x v="0"/>
    <n v="182"/>
    <n v="17"/>
    <n v="2133"/>
    <n v="608"/>
    <n v="59"/>
    <n v="503"/>
    <n v="1.5485232067510499"/>
    <s v="low"/>
    <n v="0"/>
  </r>
  <r>
    <n v="819"/>
    <x v="0"/>
    <x v="2"/>
    <d v="2024-08-04T00:00:00"/>
    <s v="Sunday"/>
    <x v="11"/>
    <n v="208"/>
    <n v="9"/>
    <n v="3940"/>
    <n v="704"/>
    <n v="254"/>
    <n v="285"/>
    <n v="1.31548223350253"/>
    <s v="low"/>
    <n v="0"/>
  </r>
  <r>
    <n v="820"/>
    <x v="0"/>
    <x v="2"/>
    <d v="2024-01-11T00:00:00"/>
    <s v="Thursday"/>
    <x v="13"/>
    <n v="216"/>
    <n v="9"/>
    <n v="335"/>
    <n v="762"/>
    <n v="57"/>
    <n v="688"/>
    <n v="5.4985074626865602"/>
    <s v="high"/>
    <n v="0"/>
  </r>
  <r>
    <n v="821"/>
    <x v="1"/>
    <x v="0"/>
    <d v="2024-07-04T00:00:00"/>
    <s v="Thursday"/>
    <x v="7"/>
    <n v="150"/>
    <n v="9"/>
    <n v="1049"/>
    <n v="552"/>
    <n v="244"/>
    <n v="454"/>
    <n v="2.1916110581506199"/>
    <s v="average"/>
    <n v="0"/>
  </r>
  <r>
    <n v="822"/>
    <x v="1"/>
    <x v="1"/>
    <d v="2024-02-16T00:00:00"/>
    <s v="Friday"/>
    <x v="6"/>
    <n v="228"/>
    <n v="1"/>
    <n v="1978"/>
    <n v="309"/>
    <n v="217"/>
    <n v="165"/>
    <n v="1.3493427704752201"/>
    <s v="low"/>
    <n v="0"/>
  </r>
  <r>
    <n v="823"/>
    <x v="1"/>
    <x v="1"/>
    <d v="2024-05-20T00:00:00"/>
    <s v="Monday"/>
    <x v="8"/>
    <n v="71"/>
    <n v="5"/>
    <n v="706"/>
    <n v="508"/>
    <n v="484"/>
    <n v="423"/>
    <n v="3.0042492917847001"/>
    <s v="high"/>
    <n v="0"/>
  </r>
  <r>
    <n v="824"/>
    <x v="2"/>
    <x v="1"/>
    <d v="2024-05-13T00:00:00"/>
    <s v="Monday"/>
    <x v="13"/>
    <n v="187"/>
    <n v="14"/>
    <n v="4197"/>
    <n v="72"/>
    <n v="362"/>
    <n v="431"/>
    <n v="1.2060995949487701"/>
    <s v="low"/>
    <n v="0"/>
  </r>
  <r>
    <n v="825"/>
    <x v="1"/>
    <x v="1"/>
    <d v="2024-01-15T00:00:00"/>
    <s v="Monday"/>
    <x v="9"/>
    <n v="21"/>
    <n v="12"/>
    <n v="476"/>
    <n v="661"/>
    <n v="190"/>
    <n v="646"/>
    <n v="4.1449579831932697"/>
    <s v="high"/>
    <n v="0"/>
  </r>
  <r>
    <n v="826"/>
    <x v="0"/>
    <x v="0"/>
    <d v="2024-04-12T00:00:00"/>
    <s v="Friday"/>
    <x v="16"/>
    <n v="284"/>
    <n v="20"/>
    <n v="2553"/>
    <n v="326"/>
    <n v="591"/>
    <n v="85"/>
    <n v="1.39247943595769"/>
    <s v="low"/>
    <n v="0"/>
  </r>
  <r>
    <n v="827"/>
    <x v="1"/>
    <x v="2"/>
    <d v="2024-03-07T00:00:00"/>
    <s v="Thursday"/>
    <x v="9"/>
    <n v="153"/>
    <n v="5"/>
    <n v="4916"/>
    <n v="707"/>
    <n v="422"/>
    <n v="328"/>
    <n v="1.29637917005695"/>
    <s v="low"/>
    <n v="0"/>
  </r>
  <r>
    <n v="828"/>
    <x v="1"/>
    <x v="0"/>
    <d v="2024-06-16T00:00:00"/>
    <s v="Sunday"/>
    <x v="7"/>
    <n v="213"/>
    <n v="18"/>
    <n v="2358"/>
    <n v="208"/>
    <n v="88"/>
    <n v="425"/>
    <n v="1.3057675996607201"/>
    <s v="low"/>
    <n v="0"/>
  </r>
  <r>
    <n v="829"/>
    <x v="2"/>
    <x v="1"/>
    <d v="2024-04-24T00:00:00"/>
    <s v="Wednesday"/>
    <x v="16"/>
    <n v="65"/>
    <n v="14"/>
    <n v="219"/>
    <n v="28"/>
    <n v="573"/>
    <n v="663"/>
    <n v="6.7716894977168902"/>
    <s v="high"/>
    <n v="1"/>
  </r>
  <r>
    <n v="830"/>
    <x v="1"/>
    <x v="1"/>
    <d v="2024-04-11T00:00:00"/>
    <s v="Thursday"/>
    <x v="8"/>
    <n v="153"/>
    <n v="4"/>
    <n v="2194"/>
    <n v="723"/>
    <n v="174"/>
    <n v="51"/>
    <n v="1.43208751139471"/>
    <s v="low"/>
    <n v="0"/>
  </r>
  <r>
    <n v="831"/>
    <x v="0"/>
    <x v="1"/>
    <d v="2024-02-15T00:00:00"/>
    <s v="Thursday"/>
    <x v="12"/>
    <n v="242"/>
    <n v="14"/>
    <n v="3064"/>
    <n v="179"/>
    <n v="582"/>
    <n v="121"/>
    <n v="1.28785900783289"/>
    <s v="low"/>
    <n v="0"/>
  </r>
  <r>
    <n v="832"/>
    <x v="1"/>
    <x v="2"/>
    <d v="2024-09-10T00:00:00"/>
    <s v="Tuesday"/>
    <x v="11"/>
    <n v="215"/>
    <n v="4"/>
    <n v="1020"/>
    <n v="234"/>
    <n v="210"/>
    <n v="196"/>
    <n v="1.62745098039215"/>
    <s v="average"/>
    <n v="0"/>
  </r>
  <r>
    <n v="833"/>
    <x v="2"/>
    <x v="1"/>
    <d v="2024-08-08T00:00:00"/>
    <s v="Thursday"/>
    <x v="10"/>
    <n v="234"/>
    <n v="5"/>
    <n v="1742"/>
    <n v="619"/>
    <n v="222"/>
    <n v="290"/>
    <n v="1.64925373134328"/>
    <s v="average"/>
    <n v="0"/>
  </r>
  <r>
    <n v="834"/>
    <x v="0"/>
    <x v="1"/>
    <d v="2024-07-28T00:00:00"/>
    <s v="Sunday"/>
    <x v="17"/>
    <n v="147"/>
    <n v="11"/>
    <n v="1245"/>
    <n v="34"/>
    <n v="299"/>
    <n v="269"/>
    <n v="1.48353413654618"/>
    <s v="low"/>
    <n v="0"/>
  </r>
  <r>
    <n v="835"/>
    <x v="0"/>
    <x v="2"/>
    <d v="2024-10-25T00:00:00"/>
    <s v="Friday"/>
    <x v="7"/>
    <n v="128"/>
    <n v="12"/>
    <n v="3803"/>
    <n v="92"/>
    <n v="12"/>
    <n v="481"/>
    <n v="1.1538259268998099"/>
    <s v="low"/>
    <n v="0"/>
  </r>
  <r>
    <n v="836"/>
    <x v="2"/>
    <x v="0"/>
    <d v="2024-08-04T00:00:00"/>
    <s v="Sunday"/>
    <x v="14"/>
    <n v="190"/>
    <n v="7"/>
    <n v="4942"/>
    <n v="267"/>
    <n v="76"/>
    <n v="98"/>
    <n v="1.08923512747875"/>
    <s v="low"/>
    <n v="0"/>
  </r>
  <r>
    <n v="837"/>
    <x v="1"/>
    <x v="1"/>
    <d v="2024-08-29T00:00:00"/>
    <s v="Thursday"/>
    <x v="7"/>
    <n v="174"/>
    <n v="12"/>
    <n v="2952"/>
    <n v="625"/>
    <n v="48"/>
    <n v="6"/>
    <n v="1.2300135501355001"/>
    <s v="low"/>
    <n v="0"/>
  </r>
  <r>
    <n v="838"/>
    <x v="0"/>
    <x v="2"/>
    <d v="2024-07-08T00:00:00"/>
    <s v="Monday"/>
    <x v="2"/>
    <n v="277"/>
    <n v="15"/>
    <n v="1133"/>
    <n v="577"/>
    <n v="44"/>
    <n v="595"/>
    <n v="2.0732568402471299"/>
    <s v="average"/>
    <n v="0"/>
  </r>
  <r>
    <n v="839"/>
    <x v="2"/>
    <x v="1"/>
    <d v="2024-06-22T00:00:00"/>
    <s v="Saturday"/>
    <x v="8"/>
    <n v="92"/>
    <n v="8"/>
    <n v="3884"/>
    <n v="140"/>
    <n v="93"/>
    <n v="325"/>
    <n v="1.14366632337796"/>
    <s v="low"/>
    <n v="0"/>
  </r>
  <r>
    <n v="840"/>
    <x v="1"/>
    <x v="1"/>
    <d v="2024-02-29T00:00:00"/>
    <s v="Thursday"/>
    <x v="5"/>
    <n v="240"/>
    <n v="9"/>
    <n v="2616"/>
    <n v="50"/>
    <n v="132"/>
    <n v="512"/>
    <n v="1.2652905198776701"/>
    <s v="low"/>
    <n v="0"/>
  </r>
  <r>
    <n v="841"/>
    <x v="0"/>
    <x v="2"/>
    <d v="2024-05-14T00:00:00"/>
    <s v="Tuesday"/>
    <x v="11"/>
    <n v="97"/>
    <n v="17"/>
    <n v="2210"/>
    <n v="534"/>
    <n v="322"/>
    <n v="447"/>
    <n v="1.58959276018099"/>
    <s v="low"/>
    <n v="0"/>
  </r>
  <r>
    <n v="842"/>
    <x v="0"/>
    <x v="0"/>
    <d v="2024-08-13T00:00:00"/>
    <s v="Tuesday"/>
    <x v="14"/>
    <n v="260"/>
    <n v="8"/>
    <n v="485"/>
    <n v="198"/>
    <n v="154"/>
    <n v="56"/>
    <n v="1.84123711340206"/>
    <s v="average"/>
    <n v="0"/>
  </r>
  <r>
    <n v="843"/>
    <x v="0"/>
    <x v="2"/>
    <d v="2024-03-24T00:00:00"/>
    <s v="Sunday"/>
    <x v="5"/>
    <n v="268"/>
    <n v="14"/>
    <n v="3876"/>
    <n v="451"/>
    <n v="120"/>
    <n v="507"/>
    <n v="1.2781217750257901"/>
    <s v="low"/>
    <n v="0"/>
  </r>
  <r>
    <n v="844"/>
    <x v="1"/>
    <x v="0"/>
    <d v="2024-09-09T00:00:00"/>
    <s v="Monday"/>
    <x v="10"/>
    <n v="165"/>
    <n v="5"/>
    <n v="971"/>
    <n v="742"/>
    <n v="153"/>
    <n v="127"/>
    <n v="2.05252317198764"/>
    <s v="average"/>
    <n v="0"/>
  </r>
  <r>
    <n v="845"/>
    <x v="2"/>
    <x v="0"/>
    <d v="2024-03-27T00:00:00"/>
    <s v="Wednesday"/>
    <x v="1"/>
    <n v="289"/>
    <n v="18"/>
    <n v="4217"/>
    <n v="284"/>
    <n v="578"/>
    <n v="680"/>
    <n v="1.36566279345506"/>
    <s v="low"/>
    <n v="0"/>
  </r>
  <r>
    <n v="846"/>
    <x v="2"/>
    <x v="0"/>
    <d v="2024-04-02T00:00:00"/>
    <s v="Tuesday"/>
    <x v="6"/>
    <n v="33"/>
    <n v="9"/>
    <n v="3461"/>
    <n v="83"/>
    <n v="254"/>
    <n v="511"/>
    <n v="1.24501589136087"/>
    <s v="low"/>
    <n v="0"/>
  </r>
  <r>
    <n v="847"/>
    <x v="0"/>
    <x v="0"/>
    <d v="2024-03-03T00:00:00"/>
    <s v="Sunday"/>
    <x v="3"/>
    <n v="255"/>
    <n v="15"/>
    <n v="3279"/>
    <n v="387"/>
    <n v="110"/>
    <n v="332"/>
    <n v="1.2528209820067"/>
    <s v="low"/>
    <n v="0"/>
  </r>
  <r>
    <n v="848"/>
    <x v="0"/>
    <x v="1"/>
    <d v="2024-08-20T00:00:00"/>
    <s v="Tuesday"/>
    <x v="17"/>
    <n v="186"/>
    <n v="18"/>
    <n v="2256"/>
    <n v="613"/>
    <n v="7"/>
    <n v="338"/>
    <n v="1.4246453900709199"/>
    <s v="low"/>
    <n v="0"/>
  </r>
  <r>
    <n v="849"/>
    <x v="0"/>
    <x v="1"/>
    <d v="2024-03-07T00:00:00"/>
    <s v="Thursday"/>
    <x v="3"/>
    <n v="300"/>
    <n v="19"/>
    <n v="1781"/>
    <n v="54"/>
    <n v="291"/>
    <n v="331"/>
    <n v="1.37956204379562"/>
    <s v="low"/>
    <n v="0"/>
  </r>
  <r>
    <n v="850"/>
    <x v="0"/>
    <x v="2"/>
    <d v="2024-07-14T00:00:00"/>
    <s v="Sunday"/>
    <x v="3"/>
    <n v="30"/>
    <n v="6"/>
    <n v="808"/>
    <n v="413"/>
    <n v="263"/>
    <n v="183"/>
    <n v="2.0631188118811798"/>
    <s v="average"/>
    <n v="0"/>
  </r>
  <r>
    <n v="851"/>
    <x v="2"/>
    <x v="0"/>
    <d v="2024-03-24T00:00:00"/>
    <s v="Sunday"/>
    <x v="0"/>
    <n v="172"/>
    <n v="15"/>
    <n v="3232"/>
    <n v="417"/>
    <n v="293"/>
    <n v="663"/>
    <n v="1.4248143564356399"/>
    <s v="low"/>
    <n v="0"/>
  </r>
  <r>
    <n v="852"/>
    <x v="2"/>
    <x v="0"/>
    <d v="2024-08-09T00:00:00"/>
    <s v="Friday"/>
    <x v="5"/>
    <n v="282"/>
    <n v="6"/>
    <n v="2590"/>
    <n v="706"/>
    <n v="136"/>
    <n v="368"/>
    <n v="1.46718146718146"/>
    <s v="low"/>
    <n v="0"/>
  </r>
  <r>
    <n v="853"/>
    <x v="2"/>
    <x v="1"/>
    <d v="2024-09-07T00:00:00"/>
    <s v="Saturday"/>
    <x v="8"/>
    <n v="66"/>
    <n v="13"/>
    <n v="3699"/>
    <n v="402"/>
    <n v="489"/>
    <n v="275"/>
    <n v="1.31522032981887"/>
    <s v="low"/>
    <n v="0"/>
  </r>
  <r>
    <n v="854"/>
    <x v="0"/>
    <x v="1"/>
    <d v="2024-07-07T00:00:00"/>
    <s v="Sunday"/>
    <x v="6"/>
    <n v="257"/>
    <n v="7"/>
    <n v="1576"/>
    <n v="449"/>
    <n v="438"/>
    <n v="96"/>
    <n v="1.6237309644669999"/>
    <s v="average"/>
    <n v="0"/>
  </r>
  <r>
    <n v="855"/>
    <x v="1"/>
    <x v="2"/>
    <d v="2024-03-20T00:00:00"/>
    <s v="Wednesday"/>
    <x v="8"/>
    <n v="60"/>
    <n v="15"/>
    <n v="4107"/>
    <n v="544"/>
    <n v="539"/>
    <n v="86"/>
    <n v="1.2846359873386901"/>
    <s v="low"/>
    <n v="0"/>
  </r>
  <r>
    <n v="856"/>
    <x v="2"/>
    <x v="2"/>
    <d v="2024-06-02T00:00:00"/>
    <s v="Sunday"/>
    <x v="4"/>
    <n v="44"/>
    <n v="17"/>
    <n v="1267"/>
    <n v="135"/>
    <n v="309"/>
    <n v="255"/>
    <n v="1.55169692186266"/>
    <s v="low"/>
    <n v="0"/>
  </r>
  <r>
    <n v="857"/>
    <x v="1"/>
    <x v="2"/>
    <d v="2024-02-09T00:00:00"/>
    <s v="Friday"/>
    <x v="0"/>
    <n v="257"/>
    <n v="18"/>
    <n v="419"/>
    <n v="530"/>
    <n v="112"/>
    <n v="523"/>
    <n v="3.78042959427207"/>
    <s v="high"/>
    <n v="0"/>
  </r>
  <r>
    <n v="858"/>
    <x v="0"/>
    <x v="0"/>
    <d v="2024-05-09T00:00:00"/>
    <s v="Thursday"/>
    <x v="17"/>
    <n v="111"/>
    <n v="5"/>
    <n v="2961"/>
    <n v="265"/>
    <n v="85"/>
    <n v="516"/>
    <n v="1.2924687605538601"/>
    <s v="low"/>
    <n v="0"/>
  </r>
  <r>
    <n v="859"/>
    <x v="1"/>
    <x v="1"/>
    <d v="2024-07-20T00:00:00"/>
    <s v="Saturday"/>
    <x v="17"/>
    <n v="250"/>
    <n v="19"/>
    <n v="420"/>
    <n v="90"/>
    <n v="428"/>
    <n v="305"/>
    <n v="2.9595238095237999"/>
    <s v="high"/>
    <n v="0"/>
  </r>
  <r>
    <n v="860"/>
    <x v="0"/>
    <x v="1"/>
    <d v="2024-05-15T00:00:00"/>
    <s v="Wednesday"/>
    <x v="15"/>
    <n v="74"/>
    <n v="13"/>
    <n v="2846"/>
    <n v="196"/>
    <n v="218"/>
    <n v="190"/>
    <n v="1.21222768798313"/>
    <s v="low"/>
    <n v="0"/>
  </r>
  <r>
    <n v="861"/>
    <x v="0"/>
    <x v="0"/>
    <d v="2024-09-30T00:00:00"/>
    <s v="Monday"/>
    <x v="11"/>
    <n v="255"/>
    <n v="12"/>
    <n v="196"/>
    <n v="10"/>
    <n v="406"/>
    <n v="120"/>
    <n v="3.7346938775510199"/>
    <s v="high"/>
    <n v="0"/>
  </r>
  <r>
    <n v="862"/>
    <x v="2"/>
    <x v="1"/>
    <d v="2024-09-06T00:00:00"/>
    <s v="Friday"/>
    <x v="7"/>
    <n v="174"/>
    <n v="2"/>
    <n v="2530"/>
    <n v="638"/>
    <n v="371"/>
    <n v="690"/>
    <n v="1.67154150197628"/>
    <s v="average"/>
    <n v="0"/>
  </r>
  <r>
    <n v="863"/>
    <x v="0"/>
    <x v="1"/>
    <d v="2024-03-05T00:00:00"/>
    <s v="Tuesday"/>
    <x v="10"/>
    <n v="33"/>
    <n v="6"/>
    <n v="1156"/>
    <n v="19"/>
    <n v="197"/>
    <n v="115"/>
    <n v="1.2863321799307901"/>
    <s v="low"/>
    <n v="0"/>
  </r>
  <r>
    <n v="864"/>
    <x v="2"/>
    <x v="1"/>
    <d v="2024-09-03T00:00:00"/>
    <s v="Tuesday"/>
    <x v="10"/>
    <n v="64"/>
    <n v="9"/>
    <n v="1239"/>
    <n v="670"/>
    <n v="249"/>
    <n v="447"/>
    <n v="2.1025020177562501"/>
    <s v="average"/>
    <n v="0"/>
  </r>
  <r>
    <n v="865"/>
    <x v="0"/>
    <x v="0"/>
    <d v="2024-08-25T00:00:00"/>
    <s v="Sunday"/>
    <x v="9"/>
    <n v="247"/>
    <n v="15"/>
    <n v="1263"/>
    <n v="490"/>
    <n v="434"/>
    <n v="23"/>
    <n v="1.74980205859065"/>
    <s v="average"/>
    <n v="0"/>
  </r>
  <r>
    <n v="866"/>
    <x v="1"/>
    <x v="1"/>
    <d v="2024-08-29T00:00:00"/>
    <s v="Thursday"/>
    <x v="7"/>
    <n v="46"/>
    <n v="10"/>
    <n v="210"/>
    <n v="465"/>
    <n v="250"/>
    <n v="207"/>
    <n v="5.39047619047619"/>
    <s v="high"/>
    <n v="0"/>
  </r>
  <r>
    <n v="867"/>
    <x v="1"/>
    <x v="1"/>
    <d v="2024-01-05T00:00:00"/>
    <s v="Friday"/>
    <x v="13"/>
    <n v="168"/>
    <n v="1"/>
    <n v="891"/>
    <n v="650"/>
    <n v="444"/>
    <n v="426"/>
    <n v="2.7059483726150302"/>
    <s v="high"/>
    <n v="0"/>
  </r>
  <r>
    <n v="868"/>
    <x v="2"/>
    <x v="1"/>
    <d v="2024-09-06T00:00:00"/>
    <s v="Friday"/>
    <x v="11"/>
    <n v="138"/>
    <n v="1"/>
    <n v="3324"/>
    <n v="502"/>
    <n v="527"/>
    <n v="606"/>
    <n v="1.4918772563176801"/>
    <s v="low"/>
    <n v="0"/>
  </r>
  <r>
    <n v="869"/>
    <x v="2"/>
    <x v="0"/>
    <d v="2024-09-27T00:00:00"/>
    <s v="Friday"/>
    <x v="15"/>
    <n v="233"/>
    <n v="15"/>
    <n v="205"/>
    <n v="437"/>
    <n v="592"/>
    <n v="324"/>
    <n v="7.6"/>
    <s v="high"/>
    <n v="1"/>
  </r>
  <r>
    <n v="870"/>
    <x v="2"/>
    <x v="2"/>
    <d v="2024-02-29T00:00:00"/>
    <s v="Thursday"/>
    <x v="1"/>
    <n v="102"/>
    <n v="9"/>
    <n v="4103"/>
    <n v="642"/>
    <n v="357"/>
    <n v="460"/>
    <n v="1.3555934681940001"/>
    <s v="low"/>
    <n v="0"/>
  </r>
  <r>
    <n v="871"/>
    <x v="2"/>
    <x v="0"/>
    <d v="2024-04-08T00:00:00"/>
    <s v="Monday"/>
    <x v="6"/>
    <n v="259"/>
    <n v="4"/>
    <n v="3894"/>
    <n v="357"/>
    <n v="450"/>
    <n v="238"/>
    <n v="1.2683615819209"/>
    <s v="low"/>
    <n v="0"/>
  </r>
  <r>
    <n v="872"/>
    <x v="0"/>
    <x v="1"/>
    <d v="2024-05-30T00:00:00"/>
    <s v="Thursday"/>
    <x v="10"/>
    <n v="164"/>
    <n v="2"/>
    <n v="3247"/>
    <n v="431"/>
    <n v="370"/>
    <n v="484"/>
    <n v="1.3957499230058501"/>
    <s v="low"/>
    <n v="0"/>
  </r>
  <r>
    <n v="873"/>
    <x v="2"/>
    <x v="2"/>
    <d v="2024-09-04T00:00:00"/>
    <s v="Wednesday"/>
    <x v="0"/>
    <n v="232"/>
    <n v="15"/>
    <n v="1107"/>
    <n v="182"/>
    <n v="206"/>
    <n v="161"/>
    <n v="1.4959349593495901"/>
    <s v="low"/>
    <n v="0"/>
  </r>
  <r>
    <n v="874"/>
    <x v="0"/>
    <x v="2"/>
    <d v="2024-06-04T00:00:00"/>
    <s v="Tuesday"/>
    <x v="15"/>
    <n v="202"/>
    <n v="5"/>
    <n v="1972"/>
    <n v="219"/>
    <n v="572"/>
    <n v="49"/>
    <n v="1.42596348884381"/>
    <s v="low"/>
    <n v="0"/>
  </r>
  <r>
    <n v="875"/>
    <x v="1"/>
    <x v="0"/>
    <d v="2024-03-30T00:00:00"/>
    <s v="Saturday"/>
    <x v="16"/>
    <n v="81"/>
    <n v="17"/>
    <n v="4174"/>
    <n v="37"/>
    <n v="67"/>
    <n v="346"/>
    <n v="1.1078102539530399"/>
    <s v="low"/>
    <n v="0"/>
  </r>
  <r>
    <n v="876"/>
    <x v="0"/>
    <x v="1"/>
    <d v="2024-04-24T00:00:00"/>
    <s v="Wednesday"/>
    <x v="15"/>
    <n v="97"/>
    <n v="16"/>
    <n v="4034"/>
    <n v="269"/>
    <n v="350"/>
    <n v="364"/>
    <n v="1.2436787307882899"/>
    <s v="low"/>
    <n v="0"/>
  </r>
  <r>
    <n v="877"/>
    <x v="0"/>
    <x v="1"/>
    <d v="2024-02-23T00:00:00"/>
    <s v="Friday"/>
    <x v="0"/>
    <n v="41"/>
    <n v="16"/>
    <n v="463"/>
    <n v="453"/>
    <n v="470"/>
    <n v="114"/>
    <n v="3.2397408207343399"/>
    <s v="high"/>
    <n v="0"/>
  </r>
  <r>
    <n v="878"/>
    <x v="1"/>
    <x v="0"/>
    <d v="2024-02-23T00:00:00"/>
    <s v="Friday"/>
    <x v="4"/>
    <n v="246"/>
    <n v="16"/>
    <n v="1418"/>
    <n v="650"/>
    <n v="122"/>
    <n v="211"/>
    <n v="1.6932299012693901"/>
    <s v="average"/>
    <n v="0"/>
  </r>
  <r>
    <n v="879"/>
    <x v="0"/>
    <x v="0"/>
    <d v="2024-09-12T00:00:00"/>
    <s v="Thursday"/>
    <x v="10"/>
    <n v="244"/>
    <n v="13"/>
    <n v="863"/>
    <n v="162"/>
    <n v="374"/>
    <n v="343"/>
    <n v="2.0185399768250201"/>
    <s v="average"/>
    <n v="0"/>
  </r>
  <r>
    <n v="880"/>
    <x v="2"/>
    <x v="0"/>
    <d v="2024-01-04T00:00:00"/>
    <s v="Thursday"/>
    <x v="3"/>
    <n v="156"/>
    <n v="11"/>
    <n v="2059"/>
    <n v="490"/>
    <n v="351"/>
    <n v="294"/>
    <n v="1.5512384652744"/>
    <s v="low"/>
    <n v="0"/>
  </r>
  <r>
    <n v="881"/>
    <x v="2"/>
    <x v="2"/>
    <d v="2024-07-31T00:00:00"/>
    <s v="Wednesday"/>
    <x v="16"/>
    <n v="90"/>
    <n v="13"/>
    <n v="3004"/>
    <n v="649"/>
    <n v="253"/>
    <n v="156"/>
    <n v="1.3521970705725701"/>
    <s v="low"/>
    <n v="0"/>
  </r>
  <r>
    <n v="882"/>
    <x v="1"/>
    <x v="0"/>
    <d v="2024-07-30T00:00:00"/>
    <s v="Tuesday"/>
    <x v="17"/>
    <n v="94"/>
    <n v="0"/>
    <n v="3403"/>
    <n v="474"/>
    <n v="530"/>
    <n v="699"/>
    <n v="1.5004407875404"/>
    <s v="low"/>
    <n v="0"/>
  </r>
  <r>
    <n v="883"/>
    <x v="1"/>
    <x v="0"/>
    <d v="2024-09-21T00:00:00"/>
    <s v="Saturday"/>
    <x v="8"/>
    <n v="51"/>
    <n v="12"/>
    <n v="620"/>
    <n v="91"/>
    <n v="348"/>
    <n v="323"/>
    <n v="2.2290322580645099"/>
    <s v="average"/>
    <n v="0"/>
  </r>
  <r>
    <n v="884"/>
    <x v="2"/>
    <x v="1"/>
    <d v="2024-01-19T00:00:00"/>
    <s v="Friday"/>
    <x v="12"/>
    <n v="171"/>
    <n v="13"/>
    <n v="1286"/>
    <n v="593"/>
    <n v="61"/>
    <n v="647"/>
    <n v="2.0116640746500698"/>
    <s v="average"/>
    <n v="0"/>
  </r>
  <r>
    <n v="885"/>
    <x v="0"/>
    <x v="2"/>
    <d v="2024-07-24T00:00:00"/>
    <s v="Wednesday"/>
    <x v="12"/>
    <n v="95"/>
    <n v="12"/>
    <n v="4585"/>
    <n v="316"/>
    <n v="323"/>
    <n v="353"/>
    <n v="1.2163576881134099"/>
    <s v="low"/>
    <n v="0"/>
  </r>
  <r>
    <n v="886"/>
    <x v="2"/>
    <x v="2"/>
    <d v="2024-08-16T00:00:00"/>
    <s v="Friday"/>
    <x v="10"/>
    <n v="174"/>
    <n v="2"/>
    <n v="1730"/>
    <n v="562"/>
    <n v="454"/>
    <n v="354"/>
    <n v="1.7919075144508601"/>
    <s v="average"/>
    <n v="0"/>
  </r>
  <r>
    <n v="887"/>
    <x v="2"/>
    <x v="1"/>
    <d v="2024-01-19T00:00:00"/>
    <s v="Friday"/>
    <x v="4"/>
    <n v="129"/>
    <n v="2"/>
    <n v="4452"/>
    <n v="347"/>
    <n v="401"/>
    <n v="130"/>
    <n v="1.19721473495058"/>
    <s v="low"/>
    <n v="0"/>
  </r>
  <r>
    <n v="888"/>
    <x v="2"/>
    <x v="0"/>
    <d v="2024-09-18T00:00:00"/>
    <s v="Wednesday"/>
    <x v="1"/>
    <n v="34"/>
    <n v="17"/>
    <n v="4570"/>
    <n v="324"/>
    <n v="535"/>
    <n v="349"/>
    <n v="1.2643326039387299"/>
    <s v="low"/>
    <n v="0"/>
  </r>
  <r>
    <n v="889"/>
    <x v="2"/>
    <x v="0"/>
    <d v="2024-05-12T00:00:00"/>
    <s v="Sunday"/>
    <x v="14"/>
    <n v="210"/>
    <n v="8"/>
    <n v="2027"/>
    <n v="797"/>
    <n v="313"/>
    <n v="433"/>
    <n v="1.7612234829797699"/>
    <s v="average"/>
    <n v="0"/>
  </r>
  <r>
    <n v="890"/>
    <x v="0"/>
    <x v="2"/>
    <d v="2024-09-16T00:00:00"/>
    <s v="Monday"/>
    <x v="4"/>
    <n v="22"/>
    <n v="14"/>
    <n v="2953"/>
    <n v="131"/>
    <n v="50"/>
    <n v="667"/>
    <n v="1.28716559431087"/>
    <s v="low"/>
    <n v="0"/>
  </r>
  <r>
    <n v="891"/>
    <x v="2"/>
    <x v="1"/>
    <d v="2024-06-22T00:00:00"/>
    <s v="Saturday"/>
    <x v="13"/>
    <n v="139"/>
    <n v="11"/>
    <n v="1984"/>
    <n v="768"/>
    <n v="597"/>
    <n v="580"/>
    <n v="1.98034274193548"/>
    <s v="average"/>
    <n v="0"/>
  </r>
  <r>
    <n v="892"/>
    <x v="0"/>
    <x v="1"/>
    <d v="2024-06-02T00:00:00"/>
    <s v="Sunday"/>
    <x v="7"/>
    <n v="286"/>
    <n v="7"/>
    <n v="2380"/>
    <n v="687"/>
    <n v="588"/>
    <n v="689"/>
    <n v="1.8252100840336101"/>
    <s v="average"/>
    <n v="0"/>
  </r>
  <r>
    <n v="893"/>
    <x v="1"/>
    <x v="2"/>
    <d v="2024-02-23T00:00:00"/>
    <s v="Friday"/>
    <x v="0"/>
    <n v="95"/>
    <n v="13"/>
    <n v="2735"/>
    <n v="533"/>
    <n v="598"/>
    <n v="198"/>
    <n v="1.4859232175502699"/>
    <s v="low"/>
    <n v="0"/>
  </r>
  <r>
    <n v="894"/>
    <x v="0"/>
    <x v="2"/>
    <d v="2024-07-29T00:00:00"/>
    <s v="Monday"/>
    <x v="10"/>
    <n v="248"/>
    <n v="2"/>
    <n v="721"/>
    <n v="99"/>
    <n v="65"/>
    <n v="436"/>
    <n v="1.8321775312066499"/>
    <s v="average"/>
    <n v="0"/>
  </r>
  <r>
    <n v="895"/>
    <x v="1"/>
    <x v="2"/>
    <d v="2024-07-08T00:00:00"/>
    <s v="Monday"/>
    <x v="11"/>
    <n v="236"/>
    <n v="14"/>
    <n v="4361"/>
    <n v="417"/>
    <n v="574"/>
    <n v="532"/>
    <n v="1.3492318275624799"/>
    <s v="low"/>
    <n v="0"/>
  </r>
  <r>
    <n v="896"/>
    <x v="0"/>
    <x v="2"/>
    <d v="2024-09-07T00:00:00"/>
    <s v="Saturday"/>
    <x v="17"/>
    <n v="86"/>
    <n v="16"/>
    <n v="3465"/>
    <n v="171"/>
    <n v="149"/>
    <n v="518"/>
    <n v="1.24184704184704"/>
    <s v="low"/>
    <n v="0"/>
  </r>
  <r>
    <n v="897"/>
    <x v="1"/>
    <x v="0"/>
    <d v="2024-09-27T00:00:00"/>
    <s v="Friday"/>
    <x v="2"/>
    <n v="209"/>
    <n v="3"/>
    <n v="1017"/>
    <n v="716"/>
    <n v="219"/>
    <n v="467"/>
    <n v="2.3785644051130701"/>
    <s v="average"/>
    <n v="0"/>
  </r>
  <r>
    <n v="898"/>
    <x v="1"/>
    <x v="0"/>
    <d v="2024-07-28T00:00:00"/>
    <s v="Sunday"/>
    <x v="12"/>
    <n v="98"/>
    <n v="3"/>
    <n v="953"/>
    <n v="128"/>
    <n v="380"/>
    <n v="586"/>
    <n v="2.1479538300104899"/>
    <s v="average"/>
    <n v="0"/>
  </r>
  <r>
    <n v="899"/>
    <x v="1"/>
    <x v="0"/>
    <d v="2024-07-09T00:00:00"/>
    <s v="Tuesday"/>
    <x v="9"/>
    <n v="92"/>
    <n v="18"/>
    <n v="2547"/>
    <n v="388"/>
    <n v="312"/>
    <n v="302"/>
    <n v="1.39340400471142"/>
    <s v="low"/>
    <n v="0"/>
  </r>
  <r>
    <n v="900"/>
    <x v="0"/>
    <x v="1"/>
    <d v="2024-08-03T00:00:00"/>
    <s v="Saturday"/>
    <x v="11"/>
    <n v="21"/>
    <n v="3"/>
    <n v="448"/>
    <n v="317"/>
    <n v="292"/>
    <n v="221"/>
    <n v="2.8526785714285698"/>
    <s v="high"/>
    <n v="0"/>
  </r>
  <r>
    <n v="901"/>
    <x v="1"/>
    <x v="1"/>
    <d v="2024-10-07T00:00:00"/>
    <s v="Monday"/>
    <x v="4"/>
    <n v="251"/>
    <n v="10"/>
    <n v="2906"/>
    <n v="74"/>
    <n v="47"/>
    <n v="428"/>
    <n v="1.1889194769442499"/>
    <s v="low"/>
    <n v="0"/>
  </r>
  <r>
    <n v="902"/>
    <x v="2"/>
    <x v="1"/>
    <d v="2024-07-12T00:00:00"/>
    <s v="Friday"/>
    <x v="17"/>
    <n v="250"/>
    <n v="14"/>
    <n v="3943"/>
    <n v="742"/>
    <n v="137"/>
    <n v="142"/>
    <n v="1.2589398934821201"/>
    <s v="low"/>
    <n v="0"/>
  </r>
  <r>
    <n v="903"/>
    <x v="0"/>
    <x v="2"/>
    <d v="2024-03-17T00:00:00"/>
    <s v="Sunday"/>
    <x v="6"/>
    <n v="296"/>
    <n v="1"/>
    <n v="2714"/>
    <n v="96"/>
    <n v="421"/>
    <n v="397"/>
    <n v="1.3367722918201901"/>
    <s v="low"/>
    <n v="0"/>
  </r>
  <r>
    <n v="904"/>
    <x v="2"/>
    <x v="0"/>
    <d v="2024-08-14T00:00:00"/>
    <s v="Wednesday"/>
    <x v="4"/>
    <n v="83"/>
    <n v="20"/>
    <n v="2322"/>
    <n v="666"/>
    <n v="92"/>
    <n v="170"/>
    <n v="1.39965546942291"/>
    <s v="low"/>
    <n v="0"/>
  </r>
  <r>
    <n v="905"/>
    <x v="0"/>
    <x v="1"/>
    <d v="2024-10-13T00:00:00"/>
    <s v="Sunday"/>
    <x v="12"/>
    <n v="116"/>
    <n v="15"/>
    <n v="747"/>
    <n v="202"/>
    <n v="556"/>
    <n v="591"/>
    <n v="2.8058902275769699"/>
    <s v="high"/>
    <n v="1"/>
  </r>
  <r>
    <n v="906"/>
    <x v="0"/>
    <x v="2"/>
    <d v="2024-09-14T00:00:00"/>
    <s v="Saturday"/>
    <x v="10"/>
    <n v="145"/>
    <n v="18"/>
    <n v="202"/>
    <n v="128"/>
    <n v="546"/>
    <n v="185"/>
    <n v="5.2524752475247496"/>
    <s v="high"/>
    <n v="1"/>
  </r>
  <r>
    <n v="907"/>
    <x v="2"/>
    <x v="0"/>
    <d v="2024-08-15T00:00:00"/>
    <s v="Thursday"/>
    <x v="11"/>
    <n v="31"/>
    <n v="10"/>
    <n v="743"/>
    <n v="551"/>
    <n v="330"/>
    <n v="412"/>
    <n v="2.7402422611036301"/>
    <s v="high"/>
    <n v="0"/>
  </r>
  <r>
    <n v="908"/>
    <x v="1"/>
    <x v="2"/>
    <d v="2024-08-11T00:00:00"/>
    <s v="Sunday"/>
    <x v="15"/>
    <n v="66"/>
    <n v="3"/>
    <n v="1528"/>
    <n v="429"/>
    <n v="26"/>
    <n v="541"/>
    <n v="1.65183246073298"/>
    <s v="average"/>
    <n v="0"/>
  </r>
  <r>
    <n v="909"/>
    <x v="0"/>
    <x v="2"/>
    <d v="2024-02-20T00:00:00"/>
    <s v="Tuesday"/>
    <x v="3"/>
    <n v="98"/>
    <n v="9"/>
    <n v="4488"/>
    <n v="177"/>
    <n v="294"/>
    <n v="148"/>
    <n v="1.13792335115864"/>
    <s v="low"/>
    <n v="0"/>
  </r>
  <r>
    <n v="910"/>
    <x v="0"/>
    <x v="1"/>
    <d v="2024-07-27T00:00:00"/>
    <s v="Saturday"/>
    <x v="14"/>
    <n v="172"/>
    <n v="12"/>
    <n v="1436"/>
    <n v="65"/>
    <n v="335"/>
    <n v="186"/>
    <n v="1.4080779944289601"/>
    <s v="low"/>
    <n v="0"/>
  </r>
  <r>
    <n v="911"/>
    <x v="1"/>
    <x v="2"/>
    <d v="2024-02-20T00:00:00"/>
    <s v="Tuesday"/>
    <x v="0"/>
    <n v="46"/>
    <n v="6"/>
    <n v="2671"/>
    <n v="150"/>
    <n v="424"/>
    <n v="332"/>
    <n v="1.3391988019468299"/>
    <s v="low"/>
    <n v="0"/>
  </r>
  <r>
    <n v="912"/>
    <x v="2"/>
    <x v="1"/>
    <d v="2024-05-02T00:00:00"/>
    <s v="Thursday"/>
    <x v="7"/>
    <n v="78"/>
    <n v="8"/>
    <n v="4940"/>
    <n v="605"/>
    <n v="244"/>
    <n v="505"/>
    <n v="1.2740890688259101"/>
    <s v="low"/>
    <n v="0"/>
  </r>
  <r>
    <n v="913"/>
    <x v="0"/>
    <x v="2"/>
    <d v="2024-02-01T00:00:00"/>
    <s v="Thursday"/>
    <x v="1"/>
    <n v="228"/>
    <n v="20"/>
    <n v="2657"/>
    <n v="480"/>
    <n v="568"/>
    <n v="417"/>
    <n v="1.55137372977041"/>
    <s v="low"/>
    <n v="0"/>
  </r>
  <r>
    <n v="914"/>
    <x v="2"/>
    <x v="0"/>
    <d v="2024-04-29T00:00:00"/>
    <s v="Monday"/>
    <x v="16"/>
    <n v="84"/>
    <n v="9"/>
    <n v="202"/>
    <n v="280"/>
    <n v="569"/>
    <n v="601"/>
    <n v="8.1782178217821695"/>
    <s v="high"/>
    <n v="1"/>
  </r>
  <r>
    <n v="915"/>
    <x v="2"/>
    <x v="0"/>
    <d v="2024-10-17T00:00:00"/>
    <s v="Thursday"/>
    <x v="9"/>
    <n v="211"/>
    <n v="17"/>
    <n v="3382"/>
    <n v="461"/>
    <n v="87"/>
    <n v="652"/>
    <n v="1.35481963335304"/>
    <s v="low"/>
    <n v="0"/>
  </r>
  <r>
    <n v="916"/>
    <x v="1"/>
    <x v="0"/>
    <d v="2024-03-27T00:00:00"/>
    <s v="Wednesday"/>
    <x v="1"/>
    <n v="257"/>
    <n v="19"/>
    <n v="2058"/>
    <n v="555"/>
    <n v="435"/>
    <n v="569"/>
    <n v="1.7575315840621899"/>
    <s v="average"/>
    <n v="0"/>
  </r>
  <r>
    <n v="917"/>
    <x v="1"/>
    <x v="1"/>
    <d v="2024-05-28T00:00:00"/>
    <s v="Tuesday"/>
    <x v="15"/>
    <n v="214"/>
    <n v="11"/>
    <n v="1421"/>
    <n v="5"/>
    <n v="63"/>
    <n v="494"/>
    <n v="1.39549612948627"/>
    <s v="low"/>
    <n v="0"/>
  </r>
  <r>
    <n v="918"/>
    <x v="0"/>
    <x v="1"/>
    <d v="2024-04-18T00:00:00"/>
    <s v="Thursday"/>
    <x v="13"/>
    <n v="55"/>
    <n v="9"/>
    <n v="4843"/>
    <n v="527"/>
    <n v="290"/>
    <n v="47"/>
    <n v="1.1784018170555399"/>
    <s v="low"/>
    <n v="0"/>
  </r>
  <r>
    <n v="919"/>
    <x v="2"/>
    <x v="1"/>
    <d v="2024-02-15T00:00:00"/>
    <s v="Thursday"/>
    <x v="15"/>
    <n v="241"/>
    <n v="6"/>
    <n v="3288"/>
    <n v="720"/>
    <n v="127"/>
    <n v="144"/>
    <n v="1.3013990267639901"/>
    <s v="low"/>
    <n v="0"/>
  </r>
  <r>
    <n v="920"/>
    <x v="1"/>
    <x v="1"/>
    <d v="2024-09-15T00:00:00"/>
    <s v="Sunday"/>
    <x v="17"/>
    <n v="159"/>
    <n v="7"/>
    <n v="2657"/>
    <n v="703"/>
    <n v="352"/>
    <n v="651"/>
    <n v="1.6420775310500499"/>
    <s v="average"/>
    <n v="0"/>
  </r>
  <r>
    <n v="921"/>
    <x v="1"/>
    <x v="0"/>
    <d v="2024-06-13T00:00:00"/>
    <s v="Thursday"/>
    <x v="9"/>
    <n v="21"/>
    <n v="19"/>
    <n v="2848"/>
    <n v="220"/>
    <n v="472"/>
    <n v="614"/>
    <n v="1.4585674157303301"/>
    <s v="low"/>
    <n v="0"/>
  </r>
  <r>
    <n v="922"/>
    <x v="2"/>
    <x v="1"/>
    <d v="2024-08-31T00:00:00"/>
    <s v="Saturday"/>
    <x v="11"/>
    <n v="221"/>
    <n v="17"/>
    <n v="85"/>
    <n v="14"/>
    <n v="179"/>
    <n v="424"/>
    <n v="8.2588235294117602"/>
    <s v="high"/>
    <n v="0"/>
  </r>
  <r>
    <n v="923"/>
    <x v="1"/>
    <x v="1"/>
    <d v="2024-02-11T00:00:00"/>
    <s v="Sunday"/>
    <x v="0"/>
    <n v="200"/>
    <n v="12"/>
    <n v="685"/>
    <n v="556"/>
    <n v="33"/>
    <n v="688"/>
    <n v="2.8642335766423299"/>
    <s v="high"/>
    <n v="0"/>
  </r>
  <r>
    <n v="924"/>
    <x v="1"/>
    <x v="2"/>
    <d v="2024-07-02T00:00:00"/>
    <s v="Tuesday"/>
    <x v="10"/>
    <n v="247"/>
    <n v="0"/>
    <n v="3218"/>
    <n v="186"/>
    <n v="10"/>
    <n v="128"/>
    <n v="1.1006836544437499"/>
    <s v="low"/>
    <n v="0"/>
  </r>
  <r>
    <n v="925"/>
    <x v="2"/>
    <x v="2"/>
    <d v="2024-04-23T00:00:00"/>
    <s v="Tuesday"/>
    <x v="10"/>
    <n v="66"/>
    <n v="19"/>
    <n v="212"/>
    <n v="781"/>
    <n v="289"/>
    <n v="697"/>
    <n v="9.3349056603773608"/>
    <s v="high"/>
    <n v="0"/>
  </r>
  <r>
    <n v="926"/>
    <x v="0"/>
    <x v="2"/>
    <d v="2024-06-04T00:00:00"/>
    <s v="Tuesday"/>
    <x v="11"/>
    <n v="127"/>
    <n v="0"/>
    <n v="1861"/>
    <n v="244"/>
    <n v="507"/>
    <n v="372"/>
    <n v="1.60343901128425"/>
    <s v="low"/>
    <n v="0"/>
  </r>
  <r>
    <n v="927"/>
    <x v="2"/>
    <x v="2"/>
    <d v="2024-04-10T00:00:00"/>
    <s v="Wednesday"/>
    <x v="2"/>
    <n v="119"/>
    <n v="18"/>
    <n v="3294"/>
    <n v="118"/>
    <n v="286"/>
    <n v="583"/>
    <n v="1.2996357012750399"/>
    <s v="low"/>
    <n v="0"/>
  </r>
  <r>
    <n v="928"/>
    <x v="0"/>
    <x v="2"/>
    <d v="2024-10-16T00:00:00"/>
    <s v="Wednesday"/>
    <x v="16"/>
    <n v="287"/>
    <n v="8"/>
    <n v="1487"/>
    <n v="71"/>
    <n v="133"/>
    <n v="67"/>
    <n v="1.182246133154"/>
    <s v="low"/>
    <n v="0"/>
  </r>
  <r>
    <n v="929"/>
    <x v="1"/>
    <x v="1"/>
    <d v="2024-04-08T00:00:00"/>
    <s v="Monday"/>
    <x v="13"/>
    <n v="252"/>
    <n v="0"/>
    <n v="239"/>
    <n v="714"/>
    <n v="547"/>
    <n v="630"/>
    <n v="8.9121338912133794"/>
    <s v="high"/>
    <n v="1"/>
  </r>
  <r>
    <n v="930"/>
    <x v="1"/>
    <x v="0"/>
    <d v="2024-08-06T00:00:00"/>
    <s v="Tuesday"/>
    <x v="12"/>
    <n v="258"/>
    <n v="15"/>
    <n v="474"/>
    <n v="335"/>
    <n v="444"/>
    <n v="417"/>
    <n v="3.5232067510548499"/>
    <s v="high"/>
    <n v="0"/>
  </r>
  <r>
    <n v="931"/>
    <x v="0"/>
    <x v="2"/>
    <d v="2024-07-04T00:00:00"/>
    <s v="Thursday"/>
    <x v="8"/>
    <n v="292"/>
    <n v="14"/>
    <n v="4287"/>
    <n v="782"/>
    <n v="46"/>
    <n v="230"/>
    <n v="1.246792628878"/>
    <s v="low"/>
    <n v="0"/>
  </r>
  <r>
    <n v="932"/>
    <x v="0"/>
    <x v="1"/>
    <d v="2024-06-10T00:00:00"/>
    <s v="Monday"/>
    <x v="1"/>
    <n v="135"/>
    <n v="13"/>
    <n v="92"/>
    <n v="406"/>
    <n v="201"/>
    <n v="343"/>
    <n v="11.326086956521699"/>
    <s v="high"/>
    <n v="0"/>
  </r>
  <r>
    <n v="933"/>
    <x v="1"/>
    <x v="0"/>
    <d v="2024-02-08T00:00:00"/>
    <s v="Thursday"/>
    <x v="0"/>
    <n v="34"/>
    <n v="15"/>
    <n v="2097"/>
    <n v="206"/>
    <n v="170"/>
    <n v="338"/>
    <n v="1.3404864091559301"/>
    <s v="low"/>
    <n v="0"/>
  </r>
  <r>
    <n v="934"/>
    <x v="0"/>
    <x v="0"/>
    <d v="2024-08-09T00:00:00"/>
    <s v="Friday"/>
    <x v="11"/>
    <n v="142"/>
    <n v="10"/>
    <n v="246"/>
    <n v="611"/>
    <n v="344"/>
    <n v="257"/>
    <n v="5.9268292682926802"/>
    <s v="high"/>
    <n v="0"/>
  </r>
  <r>
    <n v="935"/>
    <x v="2"/>
    <x v="1"/>
    <d v="2024-01-28T00:00:00"/>
    <s v="Sunday"/>
    <x v="17"/>
    <n v="68"/>
    <n v="20"/>
    <n v="2782"/>
    <n v="537"/>
    <n v="244"/>
    <n v="75"/>
    <n v="1.3076923076922999"/>
    <s v="low"/>
    <n v="0"/>
  </r>
  <r>
    <n v="936"/>
    <x v="0"/>
    <x v="2"/>
    <d v="2024-08-16T00:00:00"/>
    <s v="Friday"/>
    <x v="6"/>
    <n v="53"/>
    <n v="4"/>
    <n v="4792"/>
    <n v="132"/>
    <n v="89"/>
    <n v="63"/>
    <n v="1.059265442404"/>
    <s v="low"/>
    <n v="0"/>
  </r>
  <r>
    <n v="937"/>
    <x v="2"/>
    <x v="2"/>
    <d v="2024-02-01T00:00:00"/>
    <s v="Thursday"/>
    <x v="3"/>
    <n v="72"/>
    <n v="1"/>
    <n v="3670"/>
    <n v="61"/>
    <n v="310"/>
    <n v="626"/>
    <n v="1.27166212534059"/>
    <s v="low"/>
    <n v="0"/>
  </r>
  <r>
    <n v="938"/>
    <x v="0"/>
    <x v="1"/>
    <d v="2024-10-13T00:00:00"/>
    <s v="Sunday"/>
    <x v="8"/>
    <n v="139"/>
    <n v="19"/>
    <n v="477"/>
    <n v="306"/>
    <n v="392"/>
    <n v="412"/>
    <n v="3.32704402515723"/>
    <s v="high"/>
    <n v="0"/>
  </r>
  <r>
    <n v="939"/>
    <x v="2"/>
    <x v="1"/>
    <d v="2024-01-06T00:00:00"/>
    <s v="Saturday"/>
    <x v="0"/>
    <n v="193"/>
    <n v="20"/>
    <n v="3764"/>
    <n v="398"/>
    <n v="477"/>
    <n v="439"/>
    <n v="1.3490967056323"/>
    <s v="low"/>
    <n v="0"/>
  </r>
  <r>
    <n v="940"/>
    <x v="0"/>
    <x v="0"/>
    <d v="2024-01-14T00:00:00"/>
    <s v="Sunday"/>
    <x v="0"/>
    <n v="26"/>
    <n v="19"/>
    <n v="3769"/>
    <n v="534"/>
    <n v="338"/>
    <n v="602"/>
    <n v="1.3910851684797001"/>
    <s v="low"/>
    <n v="0"/>
  </r>
  <r>
    <n v="941"/>
    <x v="2"/>
    <x v="1"/>
    <d v="2024-02-04T00:00:00"/>
    <s v="Sunday"/>
    <x v="15"/>
    <n v="201"/>
    <n v="13"/>
    <n v="4906"/>
    <n v="203"/>
    <n v="588"/>
    <n v="130"/>
    <n v="1.1877293110476901"/>
    <s v="low"/>
    <n v="0"/>
  </r>
  <r>
    <n v="942"/>
    <x v="0"/>
    <x v="0"/>
    <d v="2024-09-03T00:00:00"/>
    <s v="Tuesday"/>
    <x v="9"/>
    <n v="179"/>
    <n v="18"/>
    <n v="3692"/>
    <n v="195"/>
    <n v="250"/>
    <n v="141"/>
    <n v="1.15872156013001"/>
    <s v="low"/>
    <n v="0"/>
  </r>
  <r>
    <n v="943"/>
    <x v="2"/>
    <x v="1"/>
    <d v="2024-08-11T00:00:00"/>
    <s v="Sunday"/>
    <x v="9"/>
    <n v="95"/>
    <n v="15"/>
    <n v="4253"/>
    <n v="672"/>
    <n v="368"/>
    <n v="319"/>
    <n v="1.3195391488361099"/>
    <s v="low"/>
    <n v="0"/>
  </r>
  <r>
    <n v="944"/>
    <x v="0"/>
    <x v="1"/>
    <d v="2024-06-07T00:00:00"/>
    <s v="Friday"/>
    <x v="9"/>
    <n v="49"/>
    <n v="7"/>
    <n v="4992"/>
    <n v="356"/>
    <n v="300"/>
    <n v="378"/>
    <n v="1.2071314102564099"/>
    <s v="low"/>
    <n v="0"/>
  </r>
  <r>
    <n v="945"/>
    <x v="0"/>
    <x v="0"/>
    <d v="2024-09-16T00:00:00"/>
    <s v="Monday"/>
    <x v="10"/>
    <n v="55"/>
    <n v="10"/>
    <n v="4633"/>
    <n v="60"/>
    <n v="434"/>
    <n v="353"/>
    <n v="1.1828189078350899"/>
    <s v="low"/>
    <n v="0"/>
  </r>
  <r>
    <n v="946"/>
    <x v="2"/>
    <x v="2"/>
    <d v="2024-04-06T00:00:00"/>
    <s v="Saturday"/>
    <x v="6"/>
    <n v="173"/>
    <n v="13"/>
    <n v="3947"/>
    <n v="716"/>
    <n v="480"/>
    <n v="615"/>
    <n v="1.4588294907524699"/>
    <s v="low"/>
    <n v="0"/>
  </r>
  <r>
    <n v="947"/>
    <x v="1"/>
    <x v="0"/>
    <d v="2024-06-17T00:00:00"/>
    <s v="Monday"/>
    <x v="1"/>
    <n v="134"/>
    <n v="7"/>
    <n v="1379"/>
    <n v="112"/>
    <n v="467"/>
    <n v="44"/>
    <n v="1.4517766497461899"/>
    <s v="low"/>
    <n v="0"/>
  </r>
  <r>
    <n v="948"/>
    <x v="2"/>
    <x v="2"/>
    <d v="2024-08-26T00:00:00"/>
    <s v="Monday"/>
    <x v="10"/>
    <n v="224"/>
    <n v="5"/>
    <n v="1796"/>
    <n v="249"/>
    <n v="494"/>
    <n v="340"/>
    <n v="1.6030066815144699"/>
    <s v="low"/>
    <n v="0"/>
  </r>
  <r>
    <n v="949"/>
    <x v="0"/>
    <x v="1"/>
    <d v="2024-01-04T00:00:00"/>
    <s v="Thursday"/>
    <x v="0"/>
    <n v="92"/>
    <n v="9"/>
    <n v="3022"/>
    <n v="15"/>
    <n v="77"/>
    <n v="367"/>
    <n v="1.1518861681005901"/>
    <s v="low"/>
    <n v="0"/>
  </r>
  <r>
    <n v="950"/>
    <x v="0"/>
    <x v="0"/>
    <d v="2024-08-13T00:00:00"/>
    <s v="Tuesday"/>
    <x v="10"/>
    <n v="165"/>
    <n v="5"/>
    <n v="1642"/>
    <n v="651"/>
    <n v="370"/>
    <n v="45"/>
    <n v="1.6492082825822101"/>
    <s v="average"/>
    <n v="0"/>
  </r>
  <r>
    <n v="951"/>
    <x v="2"/>
    <x v="0"/>
    <d v="2024-04-22T00:00:00"/>
    <s v="Monday"/>
    <x v="2"/>
    <n v="120"/>
    <n v="0"/>
    <n v="2196"/>
    <n v="741"/>
    <n v="180"/>
    <n v="348"/>
    <n v="1.5778688524590101"/>
    <s v="low"/>
    <n v="0"/>
  </r>
  <r>
    <n v="952"/>
    <x v="0"/>
    <x v="2"/>
    <d v="2024-03-31T00:00:00"/>
    <s v="Sunday"/>
    <x v="0"/>
    <n v="193"/>
    <n v="6"/>
    <n v="2194"/>
    <n v="108"/>
    <n v="23"/>
    <n v="694"/>
    <n v="1.37602552415679"/>
    <s v="low"/>
    <n v="0"/>
  </r>
  <r>
    <n v="953"/>
    <x v="2"/>
    <x v="0"/>
    <d v="2024-06-05T00:00:00"/>
    <s v="Wednesday"/>
    <x v="12"/>
    <n v="242"/>
    <n v="2"/>
    <n v="3787"/>
    <n v="250"/>
    <n v="380"/>
    <n v="382"/>
    <n v="1.2672299973593799"/>
    <s v="low"/>
    <n v="0"/>
  </r>
  <r>
    <n v="954"/>
    <x v="2"/>
    <x v="2"/>
    <d v="2024-03-01T00:00:00"/>
    <s v="Friday"/>
    <x v="5"/>
    <n v="182"/>
    <n v="19"/>
    <n v="1233"/>
    <n v="138"/>
    <n v="196"/>
    <n v="197"/>
    <n v="1.43065693430656"/>
    <s v="low"/>
    <n v="0"/>
  </r>
  <r>
    <n v="955"/>
    <x v="1"/>
    <x v="0"/>
    <d v="2024-08-07T00:00:00"/>
    <s v="Wednesday"/>
    <x v="6"/>
    <n v="146"/>
    <n v="1"/>
    <n v="2053"/>
    <n v="52"/>
    <n v="195"/>
    <n v="549"/>
    <n v="1.3877252800779301"/>
    <s v="low"/>
    <n v="0"/>
  </r>
  <r>
    <n v="956"/>
    <x v="0"/>
    <x v="1"/>
    <d v="2024-05-23T00:00:00"/>
    <s v="Thursday"/>
    <x v="3"/>
    <n v="260"/>
    <n v="19"/>
    <n v="1085"/>
    <n v="525"/>
    <n v="600"/>
    <n v="501"/>
    <n v="2.4986175115207301"/>
    <s v="high"/>
    <n v="1"/>
  </r>
  <r>
    <n v="957"/>
    <x v="2"/>
    <x v="2"/>
    <d v="2024-02-03T00:00:00"/>
    <s v="Saturday"/>
    <x v="11"/>
    <n v="285"/>
    <n v="14"/>
    <n v="1421"/>
    <n v="525"/>
    <n v="399"/>
    <n v="661"/>
    <n v="2.1154116819141402"/>
    <s v="average"/>
    <n v="0"/>
  </r>
  <r>
    <n v="958"/>
    <x v="2"/>
    <x v="2"/>
    <d v="2024-04-01T00:00:00"/>
    <s v="Monday"/>
    <x v="11"/>
    <n v="262"/>
    <n v="8"/>
    <n v="2686"/>
    <n v="734"/>
    <n v="384"/>
    <n v="539"/>
    <n v="1.6169024571854"/>
    <s v="average"/>
    <n v="0"/>
  </r>
  <r>
    <n v="959"/>
    <x v="0"/>
    <x v="0"/>
    <d v="2024-10-24T00:00:00"/>
    <s v="Thursday"/>
    <x v="16"/>
    <n v="123"/>
    <n v="14"/>
    <n v="3334"/>
    <n v="658"/>
    <n v="599"/>
    <n v="666"/>
    <n v="1.5767846430713801"/>
    <s v="low"/>
    <n v="0"/>
  </r>
  <r>
    <n v="960"/>
    <x v="1"/>
    <x v="1"/>
    <d v="2024-04-30T00:00:00"/>
    <s v="Tuesday"/>
    <x v="2"/>
    <n v="211"/>
    <n v="8"/>
    <n v="3293"/>
    <n v="228"/>
    <n v="315"/>
    <n v="436"/>
    <n v="1.29729729729729"/>
    <s v="low"/>
    <n v="0"/>
  </r>
  <r>
    <n v="961"/>
    <x v="1"/>
    <x v="1"/>
    <d v="2024-10-08T00:00:00"/>
    <s v="Tuesday"/>
    <x v="5"/>
    <n v="137"/>
    <n v="18"/>
    <n v="744"/>
    <n v="142"/>
    <n v="88"/>
    <n v="303"/>
    <n v="1.71639784946236"/>
    <s v="average"/>
    <n v="0"/>
  </r>
  <r>
    <n v="962"/>
    <x v="1"/>
    <x v="2"/>
    <d v="2024-01-22T00:00:00"/>
    <s v="Monday"/>
    <x v="8"/>
    <n v="229"/>
    <n v="11"/>
    <n v="3861"/>
    <n v="529"/>
    <n v="346"/>
    <n v="437"/>
    <n v="1.33980833980833"/>
    <s v="low"/>
    <n v="0"/>
  </r>
  <r>
    <n v="963"/>
    <x v="0"/>
    <x v="2"/>
    <d v="2024-09-11T00:00:00"/>
    <s v="Wednesday"/>
    <x v="16"/>
    <n v="155"/>
    <n v="20"/>
    <n v="2647"/>
    <n v="284"/>
    <n v="393"/>
    <n v="26"/>
    <n v="1.2655836796373201"/>
    <s v="low"/>
    <n v="0"/>
  </r>
  <r>
    <n v="964"/>
    <x v="2"/>
    <x v="1"/>
    <d v="2024-02-08T00:00:00"/>
    <s v="Thursday"/>
    <x v="3"/>
    <n v="161"/>
    <n v="7"/>
    <n v="2991"/>
    <n v="89"/>
    <n v="303"/>
    <n v="514"/>
    <n v="1.3029087261785299"/>
    <s v="low"/>
    <n v="0"/>
  </r>
  <r>
    <n v="965"/>
    <x v="2"/>
    <x v="0"/>
    <d v="2024-02-20T00:00:00"/>
    <s v="Tuesday"/>
    <x v="6"/>
    <n v="120"/>
    <n v="10"/>
    <n v="1021"/>
    <n v="78"/>
    <n v="370"/>
    <n v="40"/>
    <n v="1.47796278158667"/>
    <s v="low"/>
    <n v="0"/>
  </r>
  <r>
    <n v="966"/>
    <x v="2"/>
    <x v="1"/>
    <d v="2024-05-08T00:00:00"/>
    <s v="Wednesday"/>
    <x v="9"/>
    <n v="298"/>
    <n v="8"/>
    <n v="2529"/>
    <n v="768"/>
    <n v="283"/>
    <n v="196"/>
    <n v="1.4930802688809801"/>
    <s v="low"/>
    <n v="0"/>
  </r>
  <r>
    <n v="967"/>
    <x v="1"/>
    <x v="1"/>
    <d v="2024-01-05T00:00:00"/>
    <s v="Friday"/>
    <x v="1"/>
    <n v="261"/>
    <n v="20"/>
    <n v="2503"/>
    <n v="293"/>
    <n v="356"/>
    <n v="414"/>
    <n v="1.4246903715541299"/>
    <s v="low"/>
    <n v="0"/>
  </r>
  <r>
    <n v="968"/>
    <x v="2"/>
    <x v="1"/>
    <d v="2024-09-19T00:00:00"/>
    <s v="Thursday"/>
    <x v="10"/>
    <n v="262"/>
    <n v="7"/>
    <n v="1272"/>
    <n v="412"/>
    <n v="235"/>
    <n v="233"/>
    <n v="1.6918238993710599"/>
    <s v="average"/>
    <n v="0"/>
  </r>
  <r>
    <n v="969"/>
    <x v="1"/>
    <x v="0"/>
    <d v="2024-09-21T00:00:00"/>
    <s v="Saturday"/>
    <x v="6"/>
    <n v="116"/>
    <n v="13"/>
    <n v="4858"/>
    <n v="570"/>
    <n v="481"/>
    <n v="473"/>
    <n v="1.31370934540963"/>
    <s v="low"/>
    <n v="0"/>
  </r>
  <r>
    <n v="970"/>
    <x v="0"/>
    <x v="2"/>
    <d v="2024-08-01T00:00:00"/>
    <s v="Thursday"/>
    <x v="9"/>
    <n v="85"/>
    <n v="9"/>
    <n v="1766"/>
    <n v="454"/>
    <n v="462"/>
    <n v="572"/>
    <n v="1.8425821064552601"/>
    <s v="average"/>
    <n v="0"/>
  </r>
  <r>
    <n v="971"/>
    <x v="0"/>
    <x v="2"/>
    <d v="2024-01-05T00:00:00"/>
    <s v="Friday"/>
    <x v="8"/>
    <n v="226"/>
    <n v="17"/>
    <n v="4144"/>
    <n v="679"/>
    <n v="365"/>
    <n v="348"/>
    <n v="1.3359073359073299"/>
    <s v="low"/>
    <n v="0"/>
  </r>
  <r>
    <n v="972"/>
    <x v="0"/>
    <x v="0"/>
    <d v="2024-06-02T00:00:00"/>
    <s v="Sunday"/>
    <x v="9"/>
    <n v="189"/>
    <n v="18"/>
    <n v="2721"/>
    <n v="606"/>
    <n v="25"/>
    <n v="582"/>
    <n v="1.44579198823961"/>
    <s v="low"/>
    <n v="0"/>
  </r>
  <r>
    <n v="973"/>
    <x v="0"/>
    <x v="1"/>
    <d v="2024-10-20T00:00:00"/>
    <s v="Sunday"/>
    <x v="7"/>
    <n v="116"/>
    <n v="15"/>
    <n v="3252"/>
    <n v="395"/>
    <n v="211"/>
    <n v="401"/>
    <n v="1.30965559655596"/>
    <s v="low"/>
    <n v="0"/>
  </r>
  <r>
    <n v="974"/>
    <x v="1"/>
    <x v="0"/>
    <d v="2024-02-25T00:00:00"/>
    <s v="Sunday"/>
    <x v="2"/>
    <n v="73"/>
    <n v="17"/>
    <n v="2743"/>
    <n v="588"/>
    <n v="464"/>
    <n v="655"/>
    <n v="1.62231133795114"/>
    <s v="average"/>
    <n v="0"/>
  </r>
  <r>
    <n v="975"/>
    <x v="0"/>
    <x v="0"/>
    <d v="2024-03-31T00:00:00"/>
    <s v="Sunday"/>
    <x v="3"/>
    <n v="217"/>
    <n v="9"/>
    <n v="312"/>
    <n v="710"/>
    <n v="502"/>
    <n v="28"/>
    <n v="4.97435897435897"/>
    <s v="high"/>
    <n v="0"/>
  </r>
  <r>
    <n v="976"/>
    <x v="1"/>
    <x v="0"/>
    <d v="2024-04-15T00:00:00"/>
    <s v="Monday"/>
    <x v="5"/>
    <n v="285"/>
    <n v="0"/>
    <n v="1959"/>
    <n v="303"/>
    <n v="538"/>
    <n v="72"/>
    <n v="1.4660541092393999"/>
    <s v="low"/>
    <n v="0"/>
  </r>
  <r>
    <n v="977"/>
    <x v="0"/>
    <x v="0"/>
    <d v="2024-03-28T00:00:00"/>
    <s v="Thursday"/>
    <x v="13"/>
    <n v="234"/>
    <n v="15"/>
    <n v="2726"/>
    <n v="425"/>
    <n v="402"/>
    <n v="161"/>
    <n v="1.3624358033749"/>
    <s v="low"/>
    <n v="0"/>
  </r>
  <r>
    <n v="978"/>
    <x v="1"/>
    <x v="2"/>
    <d v="2024-02-05T00:00:00"/>
    <s v="Monday"/>
    <x v="11"/>
    <n v="101"/>
    <n v="19"/>
    <n v="3236"/>
    <n v="216"/>
    <n v="135"/>
    <n v="211"/>
    <n v="1.1736711990111199"/>
    <s v="low"/>
    <n v="0"/>
  </r>
  <r>
    <n v="979"/>
    <x v="2"/>
    <x v="1"/>
    <d v="2024-10-21T00:00:00"/>
    <s v="Monday"/>
    <x v="17"/>
    <n v="161"/>
    <n v="6"/>
    <n v="2592"/>
    <n v="606"/>
    <n v="209"/>
    <n v="515"/>
    <n v="1.51311728395061"/>
    <s v="low"/>
    <n v="0"/>
  </r>
  <r>
    <n v="980"/>
    <x v="2"/>
    <x v="0"/>
    <d v="2024-01-04T00:00:00"/>
    <s v="Thursday"/>
    <x v="12"/>
    <n v="188"/>
    <n v="18"/>
    <n v="1218"/>
    <n v="461"/>
    <n v="67"/>
    <n v="409"/>
    <n v="1.7692939244663299"/>
    <s v="average"/>
    <n v="0"/>
  </r>
  <r>
    <n v="981"/>
    <x v="2"/>
    <x v="0"/>
    <d v="2024-09-08T00:00:00"/>
    <s v="Sunday"/>
    <x v="4"/>
    <n v="253"/>
    <n v="11"/>
    <n v="3819"/>
    <n v="478"/>
    <n v="591"/>
    <n v="41"/>
    <n v="1.29065200314218"/>
    <s v="low"/>
    <n v="0"/>
  </r>
  <r>
    <n v="982"/>
    <x v="0"/>
    <x v="0"/>
    <d v="2024-06-01T00:00:00"/>
    <s v="Saturday"/>
    <x v="8"/>
    <n v="254"/>
    <n v="12"/>
    <n v="3253"/>
    <n v="632"/>
    <n v="181"/>
    <n v="426"/>
    <n v="1.38087918844143"/>
    <s v="low"/>
    <n v="0"/>
  </r>
  <r>
    <n v="983"/>
    <x v="0"/>
    <x v="0"/>
    <d v="2024-04-03T00:00:00"/>
    <s v="Wednesday"/>
    <x v="15"/>
    <n v="295"/>
    <n v="9"/>
    <n v="4708"/>
    <n v="102"/>
    <n v="404"/>
    <n v="45"/>
    <n v="1.11703483432455"/>
    <s v="low"/>
    <n v="0"/>
  </r>
  <r>
    <n v="984"/>
    <x v="0"/>
    <x v="2"/>
    <d v="2024-02-04T00:00:00"/>
    <s v="Sunday"/>
    <x v="3"/>
    <n v="73"/>
    <n v="16"/>
    <n v="1829"/>
    <n v="510"/>
    <n v="423"/>
    <n v="567"/>
    <n v="1.8201202843083599"/>
    <s v="average"/>
    <n v="0"/>
  </r>
  <r>
    <n v="985"/>
    <x v="0"/>
    <x v="1"/>
    <d v="2024-06-15T00:00:00"/>
    <s v="Saturday"/>
    <x v="14"/>
    <n v="256"/>
    <n v="0"/>
    <n v="3409"/>
    <n v="466"/>
    <n v="170"/>
    <n v="259"/>
    <n v="1.2625403344089099"/>
    <s v="low"/>
    <n v="0"/>
  </r>
  <r>
    <n v="986"/>
    <x v="0"/>
    <x v="2"/>
    <d v="2024-02-07T00:00:00"/>
    <s v="Wednesday"/>
    <x v="14"/>
    <n v="25"/>
    <n v="8"/>
    <n v="3833"/>
    <n v="395"/>
    <n v="353"/>
    <n v="409"/>
    <n v="1.3018523349856499"/>
    <s v="low"/>
    <n v="0"/>
  </r>
  <r>
    <n v="987"/>
    <x v="1"/>
    <x v="0"/>
    <d v="2024-02-28T00:00:00"/>
    <s v="Wednesday"/>
    <x v="3"/>
    <n v="300"/>
    <n v="7"/>
    <n v="1168"/>
    <n v="339"/>
    <n v="477"/>
    <n v="497"/>
    <n v="2.1241438356164299"/>
    <s v="average"/>
    <n v="0"/>
  </r>
  <r>
    <n v="988"/>
    <x v="0"/>
    <x v="0"/>
    <d v="2024-08-12T00:00:00"/>
    <s v="Monday"/>
    <x v="0"/>
    <n v="110"/>
    <n v="9"/>
    <n v="1198"/>
    <n v="487"/>
    <n v="287"/>
    <n v="166"/>
    <n v="1.7846410684474101"/>
    <s v="average"/>
    <n v="0"/>
  </r>
  <r>
    <n v="989"/>
    <x v="0"/>
    <x v="1"/>
    <d v="2024-03-04T00:00:00"/>
    <s v="Monday"/>
    <x v="1"/>
    <n v="159"/>
    <n v="4"/>
    <n v="4429"/>
    <n v="764"/>
    <n v="402"/>
    <n v="173"/>
    <n v="1.30232558139534"/>
    <s v="low"/>
    <n v="0"/>
  </r>
  <r>
    <n v="990"/>
    <x v="2"/>
    <x v="1"/>
    <d v="2024-08-13T00:00:00"/>
    <s v="Tuesday"/>
    <x v="10"/>
    <n v="246"/>
    <n v="1"/>
    <n v="2983"/>
    <n v="187"/>
    <n v="223"/>
    <n v="36"/>
    <n v="1.1495139121689499"/>
    <s v="low"/>
    <n v="0"/>
  </r>
  <r>
    <n v="991"/>
    <x v="0"/>
    <x v="1"/>
    <d v="2024-09-24T00:00:00"/>
    <s v="Tuesday"/>
    <x v="1"/>
    <n v="44"/>
    <n v="12"/>
    <n v="892"/>
    <n v="404"/>
    <n v="317"/>
    <n v="455"/>
    <n v="2.3183856502242102"/>
    <s v="average"/>
    <n v="0"/>
  </r>
  <r>
    <n v="992"/>
    <x v="0"/>
    <x v="0"/>
    <d v="2024-04-13T00:00:00"/>
    <s v="Saturday"/>
    <x v="8"/>
    <n v="34"/>
    <n v="0"/>
    <n v="2095"/>
    <n v="388"/>
    <n v="246"/>
    <n v="205"/>
    <n v="1.4004773269689701"/>
    <s v="low"/>
    <n v="0"/>
  </r>
  <r>
    <n v="993"/>
    <x v="0"/>
    <x v="1"/>
    <d v="2024-06-21T00:00:00"/>
    <s v="Friday"/>
    <x v="2"/>
    <n v="105"/>
    <n v="1"/>
    <n v="1624"/>
    <n v="701"/>
    <n v="66"/>
    <n v="226"/>
    <n v="1.61145320197044"/>
    <s v="average"/>
    <n v="0"/>
  </r>
  <r>
    <n v="994"/>
    <x v="2"/>
    <x v="1"/>
    <d v="2024-07-31T00:00:00"/>
    <s v="Wednesday"/>
    <x v="10"/>
    <n v="126"/>
    <n v="17"/>
    <n v="4248"/>
    <n v="115"/>
    <n v="336"/>
    <n v="331"/>
    <n v="1.1840866290018801"/>
    <s v="low"/>
    <n v="0"/>
  </r>
  <r>
    <n v="995"/>
    <x v="0"/>
    <x v="2"/>
    <d v="2024-07-21T00:00:00"/>
    <s v="Sunday"/>
    <x v="6"/>
    <n v="108"/>
    <n v="0"/>
    <n v="3555"/>
    <n v="128"/>
    <n v="239"/>
    <n v="219"/>
    <n v="1.1648382559774899"/>
    <s v="low"/>
    <n v="0"/>
  </r>
  <r>
    <n v="996"/>
    <x v="1"/>
    <x v="0"/>
    <d v="2024-07-24T00:00:00"/>
    <s v="Wednesday"/>
    <x v="3"/>
    <n v="162"/>
    <n v="20"/>
    <n v="2640"/>
    <n v="17"/>
    <n v="400"/>
    <n v="218"/>
    <n v="1.2405303030303001"/>
    <s v="low"/>
    <n v="0"/>
  </r>
  <r>
    <n v="997"/>
    <x v="1"/>
    <x v="1"/>
    <d v="2024-07-07T00:00:00"/>
    <s v="Sunday"/>
    <x v="11"/>
    <n v="72"/>
    <n v="17"/>
    <n v="409"/>
    <n v="73"/>
    <n v="225"/>
    <n v="421"/>
    <n v="2.75794621026894"/>
    <s v="high"/>
    <n v="0"/>
  </r>
  <r>
    <n v="998"/>
    <x v="1"/>
    <x v="1"/>
    <d v="2024-10-18T00:00:00"/>
    <s v="Friday"/>
    <x v="7"/>
    <n v="88"/>
    <n v="10"/>
    <n v="1454"/>
    <n v="262"/>
    <n v="99"/>
    <n v="615"/>
    <n v="1.67125171939477"/>
    <s v="average"/>
    <n v="0"/>
  </r>
  <r>
    <n v="999"/>
    <x v="1"/>
    <x v="0"/>
    <d v="2024-03-30T00:00:00"/>
    <s v="Saturday"/>
    <x v="17"/>
    <n v="215"/>
    <n v="16"/>
    <n v="2654"/>
    <n v="687"/>
    <n v="495"/>
    <n v="70"/>
    <n v="1.4717407686510899"/>
    <s v="low"/>
    <n v="0"/>
  </r>
  <r>
    <n v="1000"/>
    <x v="0"/>
    <x v="1"/>
    <d v="2024-04-29T00:00:00"/>
    <s v="Monday"/>
    <x v="0"/>
    <n v="178"/>
    <n v="7"/>
    <n v="4174"/>
    <n v="606"/>
    <n v="15"/>
    <n v="239"/>
    <n v="1.2060373742213699"/>
    <s v="low"/>
    <n v="0"/>
  </r>
  <r>
    <n v="1001"/>
    <x v="0"/>
    <x v="2"/>
    <d v="2024-08-07T00:00:00"/>
    <s v="Wednesday"/>
    <x v="11"/>
    <n v="171"/>
    <n v="6"/>
    <n v="2045"/>
    <n v="639"/>
    <n v="83"/>
    <n v="62"/>
    <n v="1.38337408312958"/>
    <s v="low"/>
    <n v="0"/>
  </r>
  <r>
    <n v="1002"/>
    <x v="2"/>
    <x v="1"/>
    <d v="2024-03-18T00:00:00"/>
    <s v="Monday"/>
    <x v="17"/>
    <n v="188"/>
    <n v="4"/>
    <n v="3128"/>
    <n v="214"/>
    <n v="40"/>
    <n v="244"/>
    <n v="1.1592071611253101"/>
    <s v="low"/>
    <n v="0"/>
  </r>
  <r>
    <n v="1003"/>
    <x v="1"/>
    <x v="1"/>
    <d v="2024-05-22T00:00:00"/>
    <s v="Wednesday"/>
    <x v="4"/>
    <n v="32"/>
    <n v="7"/>
    <n v="2651"/>
    <n v="664"/>
    <n v="42"/>
    <n v="534"/>
    <n v="1.4677480196152299"/>
    <s v="low"/>
    <n v="0"/>
  </r>
  <r>
    <n v="1004"/>
    <x v="0"/>
    <x v="1"/>
    <d v="2024-06-18T00:00:00"/>
    <s v="Tuesday"/>
    <x v="16"/>
    <n v="133"/>
    <n v="19"/>
    <n v="2857"/>
    <n v="253"/>
    <n v="212"/>
    <n v="553"/>
    <n v="1.35631781589079"/>
    <s v="low"/>
    <n v="0"/>
  </r>
  <r>
    <n v="1005"/>
    <x v="2"/>
    <x v="0"/>
    <d v="2024-07-14T00:00:00"/>
    <s v="Sunday"/>
    <x v="3"/>
    <n v="271"/>
    <n v="2"/>
    <n v="4321"/>
    <n v="334"/>
    <n v="189"/>
    <n v="453"/>
    <n v="1.22587364036102"/>
    <s v="low"/>
    <n v="0"/>
  </r>
  <r>
    <n v="1006"/>
    <x v="0"/>
    <x v="0"/>
    <d v="2024-04-08T00:00:00"/>
    <s v="Monday"/>
    <x v="2"/>
    <n v="124"/>
    <n v="7"/>
    <n v="476"/>
    <n v="654"/>
    <n v="146"/>
    <n v="210"/>
    <n v="3.1218487394957899"/>
    <s v="high"/>
    <n v="0"/>
  </r>
  <r>
    <n v="1007"/>
    <x v="0"/>
    <x v="1"/>
    <d v="2024-09-16T00:00:00"/>
    <s v="Monday"/>
    <x v="10"/>
    <n v="145"/>
    <n v="13"/>
    <n v="690"/>
    <n v="441"/>
    <n v="480"/>
    <n v="319"/>
    <n v="2.7971014492753601"/>
    <s v="high"/>
    <n v="0"/>
  </r>
  <r>
    <n v="1008"/>
    <x v="1"/>
    <x v="1"/>
    <d v="2024-03-31T00:00:00"/>
    <s v="Sunday"/>
    <x v="10"/>
    <n v="159"/>
    <n v="15"/>
    <n v="2089"/>
    <n v="315"/>
    <n v="294"/>
    <n v="591"/>
    <n v="1.57443752991862"/>
    <s v="low"/>
    <n v="0"/>
  </r>
  <r>
    <n v="1009"/>
    <x v="1"/>
    <x v="2"/>
    <d v="2024-02-10T00:00:00"/>
    <s v="Saturday"/>
    <x v="8"/>
    <n v="278"/>
    <n v="19"/>
    <n v="2995"/>
    <n v="412"/>
    <n v="388"/>
    <n v="172"/>
    <n v="1.3245409015025"/>
    <s v="low"/>
    <n v="0"/>
  </r>
  <r>
    <n v="1010"/>
    <x v="1"/>
    <x v="0"/>
    <d v="2024-08-09T00:00:00"/>
    <s v="Friday"/>
    <x v="4"/>
    <n v="295"/>
    <n v="4"/>
    <n v="1326"/>
    <n v="498"/>
    <n v="22"/>
    <n v="391"/>
    <n v="1.68702865761689"/>
    <s v="average"/>
    <n v="0"/>
  </r>
  <r>
    <n v="1011"/>
    <x v="1"/>
    <x v="2"/>
    <d v="2024-10-10T00:00:00"/>
    <s v="Thursday"/>
    <x v="4"/>
    <n v="212"/>
    <n v="17"/>
    <n v="1489"/>
    <n v="268"/>
    <n v="391"/>
    <n v="475"/>
    <n v="1.76158495634654"/>
    <s v="average"/>
    <n v="0"/>
  </r>
  <r>
    <n v="1012"/>
    <x v="0"/>
    <x v="0"/>
    <d v="2024-09-03T00:00:00"/>
    <s v="Tuesday"/>
    <x v="10"/>
    <n v="22"/>
    <n v="0"/>
    <n v="639"/>
    <n v="346"/>
    <n v="141"/>
    <n v="481"/>
    <n v="2.5148669796557099"/>
    <s v="high"/>
    <n v="0"/>
  </r>
  <r>
    <n v="1013"/>
    <x v="1"/>
    <x v="1"/>
    <d v="2024-09-13T00:00:00"/>
    <s v="Friday"/>
    <x v="5"/>
    <n v="216"/>
    <n v="15"/>
    <n v="3115"/>
    <n v="508"/>
    <n v="416"/>
    <n v="426"/>
    <n v="1.43338683788122"/>
    <s v="low"/>
    <n v="0"/>
  </r>
  <r>
    <n v="1014"/>
    <x v="0"/>
    <x v="2"/>
    <d v="2024-06-06T00:00:00"/>
    <s v="Thursday"/>
    <x v="2"/>
    <n v="119"/>
    <n v="13"/>
    <n v="4869"/>
    <n v="77"/>
    <n v="420"/>
    <n v="40"/>
    <n v="1.11028958718422"/>
    <s v="low"/>
    <n v="0"/>
  </r>
  <r>
    <n v="1015"/>
    <x v="2"/>
    <x v="2"/>
    <d v="2024-05-10T00:00:00"/>
    <s v="Friday"/>
    <x v="14"/>
    <n v="217"/>
    <n v="13"/>
    <n v="2905"/>
    <n v="526"/>
    <n v="502"/>
    <n v="651"/>
    <n v="1.5779690189328699"/>
    <s v="low"/>
    <n v="0"/>
  </r>
  <r>
    <n v="1016"/>
    <x v="2"/>
    <x v="1"/>
    <d v="2024-05-06T00:00:00"/>
    <s v="Monday"/>
    <x v="1"/>
    <n v="95"/>
    <n v="8"/>
    <n v="2035"/>
    <n v="494"/>
    <n v="37"/>
    <n v="371"/>
    <n v="1.44324324324324"/>
    <s v="low"/>
    <n v="0"/>
  </r>
  <r>
    <n v="1017"/>
    <x v="2"/>
    <x v="1"/>
    <d v="2024-08-21T00:00:00"/>
    <s v="Wednesday"/>
    <x v="2"/>
    <n v="26"/>
    <n v="3"/>
    <n v="1257"/>
    <n v="265"/>
    <n v="255"/>
    <n v="617"/>
    <n v="1.9045346062052499"/>
    <s v="average"/>
    <n v="0"/>
  </r>
  <r>
    <n v="1018"/>
    <x v="0"/>
    <x v="2"/>
    <d v="2024-02-17T00:00:00"/>
    <s v="Saturday"/>
    <x v="2"/>
    <n v="238"/>
    <n v="8"/>
    <n v="3198"/>
    <n v="412"/>
    <n v="84"/>
    <n v="531"/>
    <n v="1.32113821138211"/>
    <s v="low"/>
    <n v="0"/>
  </r>
  <r>
    <n v="1019"/>
    <x v="1"/>
    <x v="1"/>
    <d v="2024-06-03T00:00:00"/>
    <s v="Monday"/>
    <x v="8"/>
    <n v="65"/>
    <n v="3"/>
    <n v="4151"/>
    <n v="550"/>
    <n v="393"/>
    <n v="601"/>
    <n v="1.3719585642013901"/>
    <s v="low"/>
    <n v="0"/>
  </r>
  <r>
    <n v="1020"/>
    <x v="2"/>
    <x v="2"/>
    <d v="2024-10-20T00:00:00"/>
    <s v="Sunday"/>
    <x v="4"/>
    <n v="23"/>
    <n v="5"/>
    <n v="2871"/>
    <n v="151"/>
    <n v="277"/>
    <n v="215"/>
    <n v="1.22396377568791"/>
    <s v="low"/>
    <n v="0"/>
  </r>
  <r>
    <n v="1021"/>
    <x v="2"/>
    <x v="2"/>
    <d v="2024-09-08T00:00:00"/>
    <s v="Sunday"/>
    <x v="4"/>
    <n v="240"/>
    <n v="5"/>
    <n v="62"/>
    <n v="104"/>
    <n v="73"/>
    <n v="428"/>
    <n v="10.758064516129"/>
    <s v="high"/>
    <n v="0"/>
  </r>
  <r>
    <n v="1022"/>
    <x v="1"/>
    <x v="0"/>
    <d v="2024-03-31T00:00:00"/>
    <s v="Sunday"/>
    <x v="12"/>
    <n v="76"/>
    <n v="14"/>
    <n v="3119"/>
    <n v="195"/>
    <n v="139"/>
    <n v="203"/>
    <n v="1.1721705674895799"/>
    <s v="low"/>
    <n v="0"/>
  </r>
  <r>
    <n v="1023"/>
    <x v="2"/>
    <x v="0"/>
    <d v="2024-10-17T00:00:00"/>
    <s v="Thursday"/>
    <x v="10"/>
    <n v="152"/>
    <n v="13"/>
    <n v="1791"/>
    <n v="195"/>
    <n v="207"/>
    <n v="61"/>
    <n v="1.2585147962032299"/>
    <s v="low"/>
    <n v="0"/>
  </r>
  <r>
    <n v="1024"/>
    <x v="1"/>
    <x v="0"/>
    <d v="2024-08-13T00:00:00"/>
    <s v="Tuesday"/>
    <x v="7"/>
    <n v="83"/>
    <n v="8"/>
    <n v="944"/>
    <n v="656"/>
    <n v="172"/>
    <n v="82"/>
    <n v="1.9639830508474501"/>
    <s v="average"/>
    <n v="0"/>
  </r>
  <r>
    <n v="1025"/>
    <x v="1"/>
    <x v="1"/>
    <d v="2024-02-02T00:00:00"/>
    <s v="Friday"/>
    <x v="0"/>
    <n v="24"/>
    <n v="1"/>
    <n v="2852"/>
    <n v="35"/>
    <n v="242"/>
    <n v="490"/>
    <n v="1.2689340813464201"/>
    <s v="low"/>
    <n v="0"/>
  </r>
  <r>
    <n v="1026"/>
    <x v="0"/>
    <x v="0"/>
    <d v="2024-05-16T00:00:00"/>
    <s v="Thursday"/>
    <x v="12"/>
    <n v="23"/>
    <n v="12"/>
    <n v="109"/>
    <n v="686"/>
    <n v="598"/>
    <n v="43"/>
    <n v="13.174311926605499"/>
    <s v="high"/>
    <n v="1"/>
  </r>
  <r>
    <n v="1027"/>
    <x v="2"/>
    <x v="2"/>
    <d v="2024-09-23T00:00:00"/>
    <s v="Monday"/>
    <x v="6"/>
    <n v="209"/>
    <n v="10"/>
    <n v="2227"/>
    <n v="502"/>
    <n v="486"/>
    <n v="346"/>
    <n v="1.59901212393354"/>
    <s v="low"/>
    <n v="0"/>
  </r>
  <r>
    <n v="1028"/>
    <x v="2"/>
    <x v="0"/>
    <d v="2024-06-10T00:00:00"/>
    <s v="Monday"/>
    <x v="5"/>
    <n v="189"/>
    <n v="3"/>
    <n v="2012"/>
    <n v="374"/>
    <n v="410"/>
    <n v="388"/>
    <n v="1.58250497017892"/>
    <s v="low"/>
    <n v="0"/>
  </r>
  <r>
    <n v="1029"/>
    <x v="0"/>
    <x v="1"/>
    <d v="2024-01-02T00:00:00"/>
    <s v="Tuesday"/>
    <x v="0"/>
    <n v="291"/>
    <n v="8"/>
    <n v="3793"/>
    <n v="720"/>
    <n v="413"/>
    <n v="143"/>
    <n v="1.3364091747956699"/>
    <s v="low"/>
    <n v="0"/>
  </r>
  <r>
    <n v="1030"/>
    <x v="1"/>
    <x v="1"/>
    <d v="2024-05-07T00:00:00"/>
    <s v="Tuesday"/>
    <x v="10"/>
    <n v="21"/>
    <n v="20"/>
    <n v="3068"/>
    <n v="467"/>
    <n v="488"/>
    <n v="528"/>
    <n v="1.4833767926988199"/>
    <s v="low"/>
    <n v="0"/>
  </r>
  <r>
    <n v="1031"/>
    <x v="2"/>
    <x v="2"/>
    <d v="2024-06-13T00:00:00"/>
    <s v="Thursday"/>
    <x v="17"/>
    <n v="139"/>
    <n v="19"/>
    <n v="186"/>
    <n v="653"/>
    <n v="370"/>
    <n v="47"/>
    <n v="6.7526881720430101"/>
    <s v="high"/>
    <n v="0"/>
  </r>
  <r>
    <n v="1032"/>
    <x v="1"/>
    <x v="2"/>
    <d v="2024-09-05T00:00:00"/>
    <s v="Thursday"/>
    <x v="0"/>
    <n v="217"/>
    <n v="9"/>
    <n v="3328"/>
    <n v="761"/>
    <n v="85"/>
    <n v="357"/>
    <n v="1.3614783653846101"/>
    <s v="low"/>
    <n v="0"/>
  </r>
  <r>
    <n v="1033"/>
    <x v="0"/>
    <x v="0"/>
    <d v="2024-04-09T00:00:00"/>
    <s v="Tuesday"/>
    <x v="11"/>
    <n v="64"/>
    <n v="9"/>
    <n v="1222"/>
    <n v="537"/>
    <n v="587"/>
    <n v="517"/>
    <n v="2.34288052373158"/>
    <s v="average"/>
    <n v="1"/>
  </r>
  <r>
    <n v="1034"/>
    <x v="1"/>
    <x v="1"/>
    <d v="2024-10-07T00:00:00"/>
    <s v="Monday"/>
    <x v="13"/>
    <n v="143"/>
    <n v="7"/>
    <n v="3874"/>
    <n v="177"/>
    <n v="458"/>
    <n v="119"/>
    <n v="1.19463087248322"/>
    <s v="low"/>
    <n v="0"/>
  </r>
  <r>
    <n v="1035"/>
    <x v="1"/>
    <x v="1"/>
    <d v="2024-04-18T00:00:00"/>
    <s v="Thursday"/>
    <x v="1"/>
    <n v="102"/>
    <n v="10"/>
    <n v="1446"/>
    <n v="776"/>
    <n v="93"/>
    <n v="109"/>
    <n v="1.6763485477178399"/>
    <s v="average"/>
    <n v="0"/>
  </r>
  <r>
    <n v="1036"/>
    <x v="1"/>
    <x v="1"/>
    <d v="2024-07-15T00:00:00"/>
    <s v="Monday"/>
    <x v="0"/>
    <n v="89"/>
    <n v="17"/>
    <n v="2346"/>
    <n v="230"/>
    <n v="265"/>
    <n v="682"/>
    <n v="1.5017050298380199"/>
    <s v="low"/>
    <n v="0"/>
  </r>
  <r>
    <n v="1037"/>
    <x v="2"/>
    <x v="1"/>
    <d v="2024-09-08T00:00:00"/>
    <s v="Sunday"/>
    <x v="3"/>
    <n v="195"/>
    <n v="12"/>
    <n v="790"/>
    <n v="713"/>
    <n v="342"/>
    <n v="230"/>
    <n v="2.6265822784810098"/>
    <s v="high"/>
    <n v="0"/>
  </r>
  <r>
    <n v="1038"/>
    <x v="1"/>
    <x v="0"/>
    <d v="2024-07-14T00:00:00"/>
    <s v="Sunday"/>
    <x v="4"/>
    <n v="64"/>
    <n v="3"/>
    <n v="4653"/>
    <n v="452"/>
    <n v="240"/>
    <n v="229"/>
    <n v="1.19793681495809"/>
    <s v="low"/>
    <n v="0"/>
  </r>
  <r>
    <n v="1039"/>
    <x v="2"/>
    <x v="2"/>
    <d v="2024-02-15T00:00:00"/>
    <s v="Thursday"/>
    <x v="9"/>
    <n v="180"/>
    <n v="12"/>
    <n v="2837"/>
    <n v="763"/>
    <n v="194"/>
    <n v="119"/>
    <n v="1.37927388086006"/>
    <s v="low"/>
    <n v="0"/>
  </r>
  <r>
    <n v="1040"/>
    <x v="2"/>
    <x v="0"/>
    <d v="2024-10-22T00:00:00"/>
    <s v="Tuesday"/>
    <x v="7"/>
    <n v="236"/>
    <n v="10"/>
    <n v="63"/>
    <n v="323"/>
    <n v="65"/>
    <n v="605"/>
    <n v="16.761904761904699"/>
    <s v="high"/>
    <n v="0"/>
  </r>
  <r>
    <n v="1041"/>
    <x v="1"/>
    <x v="0"/>
    <d v="2024-07-05T00:00:00"/>
    <s v="Friday"/>
    <x v="13"/>
    <n v="255"/>
    <n v="10"/>
    <n v="1084"/>
    <n v="537"/>
    <n v="229"/>
    <n v="110"/>
    <n v="1.80811808118081"/>
    <s v="average"/>
    <n v="0"/>
  </r>
  <r>
    <n v="1042"/>
    <x v="1"/>
    <x v="0"/>
    <d v="2024-03-15T00:00:00"/>
    <s v="Friday"/>
    <x v="4"/>
    <n v="94"/>
    <n v="1"/>
    <n v="2481"/>
    <n v="229"/>
    <n v="513"/>
    <n v="697"/>
    <n v="1.58000806126561"/>
    <s v="low"/>
    <n v="0"/>
  </r>
  <r>
    <n v="1043"/>
    <x v="2"/>
    <x v="1"/>
    <d v="2024-06-12T00:00:00"/>
    <s v="Wednesday"/>
    <x v="11"/>
    <n v="130"/>
    <n v="15"/>
    <n v="2580"/>
    <n v="519"/>
    <n v="128"/>
    <n v="281"/>
    <n v="1.35968992248062"/>
    <s v="low"/>
    <n v="0"/>
  </r>
  <r>
    <n v="1044"/>
    <x v="2"/>
    <x v="0"/>
    <d v="2024-05-29T00:00:00"/>
    <s v="Wednesday"/>
    <x v="16"/>
    <n v="46"/>
    <n v="5"/>
    <n v="3135"/>
    <n v="65"/>
    <n v="343"/>
    <n v="157"/>
    <n v="1.1802232854864401"/>
    <s v="low"/>
    <n v="0"/>
  </r>
  <r>
    <n v="1045"/>
    <x v="2"/>
    <x v="2"/>
    <d v="2024-09-06T00:00:00"/>
    <s v="Friday"/>
    <x v="6"/>
    <n v="236"/>
    <n v="15"/>
    <n v="3259"/>
    <n v="311"/>
    <n v="165"/>
    <n v="23"/>
    <n v="1.15311445228597"/>
    <s v="low"/>
    <n v="0"/>
  </r>
  <r>
    <n v="1046"/>
    <x v="2"/>
    <x v="2"/>
    <d v="2024-06-27T00:00:00"/>
    <s v="Thursday"/>
    <x v="4"/>
    <n v="119"/>
    <n v="17"/>
    <n v="3256"/>
    <n v="405"/>
    <n v="75"/>
    <n v="541"/>
    <n v="1.31357493857493"/>
    <s v="low"/>
    <n v="0"/>
  </r>
  <r>
    <n v="1047"/>
    <x v="0"/>
    <x v="1"/>
    <d v="2024-07-20T00:00:00"/>
    <s v="Saturday"/>
    <x v="4"/>
    <n v="254"/>
    <n v="20"/>
    <n v="847"/>
    <n v="139"/>
    <n v="333"/>
    <n v="595"/>
    <n v="2.2597402597402598"/>
    <s v="average"/>
    <n v="0"/>
  </r>
  <r>
    <n v="1048"/>
    <x v="1"/>
    <x v="0"/>
    <d v="2024-03-24T00:00:00"/>
    <s v="Sunday"/>
    <x v="10"/>
    <n v="131"/>
    <n v="6"/>
    <n v="4778"/>
    <n v="145"/>
    <n v="454"/>
    <n v="495"/>
    <n v="1.2289660946002501"/>
    <s v="low"/>
    <n v="0"/>
  </r>
  <r>
    <n v="1049"/>
    <x v="2"/>
    <x v="0"/>
    <d v="2024-01-05T00:00:00"/>
    <s v="Friday"/>
    <x v="7"/>
    <n v="238"/>
    <n v="5"/>
    <n v="3017"/>
    <n v="748"/>
    <n v="591"/>
    <n v="105"/>
    <n v="1.4786211468346"/>
    <s v="low"/>
    <n v="0"/>
  </r>
  <r>
    <n v="1050"/>
    <x v="0"/>
    <x v="0"/>
    <d v="2024-01-29T00:00:00"/>
    <s v="Monday"/>
    <x v="12"/>
    <n v="193"/>
    <n v="18"/>
    <n v="836"/>
    <n v="369"/>
    <n v="487"/>
    <n v="184"/>
    <n v="2.2440191387559798"/>
    <s v="average"/>
    <n v="0"/>
  </r>
  <r>
    <n v="1051"/>
    <x v="0"/>
    <x v="0"/>
    <d v="2024-08-10T00:00:00"/>
    <s v="Saturday"/>
    <x v="16"/>
    <n v="223"/>
    <n v="15"/>
    <n v="1267"/>
    <n v="647"/>
    <n v="415"/>
    <n v="251"/>
    <n v="2.03630623520126"/>
    <s v="average"/>
    <n v="0"/>
  </r>
  <r>
    <n v="1052"/>
    <x v="2"/>
    <x v="0"/>
    <d v="2024-06-03T00:00:00"/>
    <s v="Monday"/>
    <x v="17"/>
    <n v="215"/>
    <n v="8"/>
    <n v="4933"/>
    <n v="181"/>
    <n v="386"/>
    <n v="687"/>
    <n v="1.25420636529495"/>
    <s v="low"/>
    <n v="0"/>
  </r>
  <r>
    <n v="1053"/>
    <x v="0"/>
    <x v="0"/>
    <d v="2024-08-15T00:00:00"/>
    <s v="Thursday"/>
    <x v="11"/>
    <n v="280"/>
    <n v="7"/>
    <n v="3059"/>
    <n v="16"/>
    <n v="124"/>
    <n v="120"/>
    <n v="1.0849950964367401"/>
    <s v="low"/>
    <n v="0"/>
  </r>
  <r>
    <n v="1054"/>
    <x v="1"/>
    <x v="1"/>
    <d v="2024-01-12T00:00:00"/>
    <s v="Friday"/>
    <x v="0"/>
    <n v="112"/>
    <n v="12"/>
    <n v="4857"/>
    <n v="591"/>
    <n v="588"/>
    <n v="492"/>
    <n v="1.3440395305744199"/>
    <s v="low"/>
    <n v="0"/>
  </r>
  <r>
    <n v="1055"/>
    <x v="0"/>
    <x v="2"/>
    <d v="2024-09-04T00:00:00"/>
    <s v="Wednesday"/>
    <x v="3"/>
    <n v="295"/>
    <n v="5"/>
    <n v="3602"/>
    <n v="310"/>
    <n v="587"/>
    <n v="129"/>
    <n v="1.28484175458078"/>
    <s v="low"/>
    <n v="0"/>
  </r>
  <r>
    <n v="1056"/>
    <x v="2"/>
    <x v="2"/>
    <d v="2024-07-26T00:00:00"/>
    <s v="Friday"/>
    <x v="3"/>
    <n v="285"/>
    <n v="18"/>
    <n v="211"/>
    <n v="408"/>
    <n v="571"/>
    <n v="550"/>
    <n v="8.2464454976303294"/>
    <s v="high"/>
    <n v="1"/>
  </r>
  <r>
    <n v="1057"/>
    <x v="0"/>
    <x v="0"/>
    <d v="2024-10-02T00:00:00"/>
    <s v="Wednesday"/>
    <x v="2"/>
    <n v="22"/>
    <n v="17"/>
    <n v="1066"/>
    <n v="776"/>
    <n v="214"/>
    <n v="675"/>
    <n v="2.5619136960600302"/>
    <s v="high"/>
    <n v="0"/>
  </r>
  <r>
    <n v="1058"/>
    <x v="2"/>
    <x v="0"/>
    <d v="2024-08-16T00:00:00"/>
    <s v="Friday"/>
    <x v="2"/>
    <n v="64"/>
    <n v="17"/>
    <n v="2624"/>
    <n v="130"/>
    <n v="42"/>
    <n v="132"/>
    <n v="1.1158536585365799"/>
    <s v="low"/>
    <n v="0"/>
  </r>
  <r>
    <n v="1059"/>
    <x v="1"/>
    <x v="2"/>
    <d v="2024-05-11T00:00:00"/>
    <s v="Saturday"/>
    <x v="13"/>
    <n v="107"/>
    <n v="13"/>
    <n v="336"/>
    <n v="91"/>
    <n v="129"/>
    <n v="519"/>
    <n v="3.1994047619047601"/>
    <s v="high"/>
    <n v="0"/>
  </r>
  <r>
    <n v="1060"/>
    <x v="1"/>
    <x v="1"/>
    <d v="2024-01-01T00:00:00"/>
    <s v="Monday"/>
    <x v="13"/>
    <n v="247"/>
    <n v="4"/>
    <n v="2084"/>
    <n v="312"/>
    <n v="49"/>
    <n v="532"/>
    <n v="1.42850287907869"/>
    <s v="low"/>
    <n v="0"/>
  </r>
  <r>
    <n v="1061"/>
    <x v="1"/>
    <x v="1"/>
    <d v="2024-10-22T00:00:00"/>
    <s v="Tuesday"/>
    <x v="13"/>
    <n v="281"/>
    <n v="6"/>
    <n v="4067"/>
    <n v="716"/>
    <n v="322"/>
    <n v="536"/>
    <n v="1.3870174575854399"/>
    <s v="low"/>
    <n v="0"/>
  </r>
  <r>
    <n v="1062"/>
    <x v="0"/>
    <x v="2"/>
    <d v="2024-02-20T00:00:00"/>
    <s v="Tuesday"/>
    <x v="10"/>
    <n v="88"/>
    <n v="19"/>
    <n v="416"/>
    <n v="247"/>
    <n v="39"/>
    <n v="193"/>
    <n v="2.1514423076922999"/>
    <s v="average"/>
    <n v="0"/>
  </r>
  <r>
    <n v="1063"/>
    <x v="0"/>
    <x v="1"/>
    <d v="2024-10-09T00:00:00"/>
    <s v="Wednesday"/>
    <x v="8"/>
    <n v="58"/>
    <n v="17"/>
    <n v="1819"/>
    <n v="610"/>
    <n v="369"/>
    <n v="285"/>
    <n v="1.6948873007146701"/>
    <s v="average"/>
    <n v="0"/>
  </r>
  <r>
    <n v="1064"/>
    <x v="1"/>
    <x v="0"/>
    <d v="2024-05-10T00:00:00"/>
    <s v="Friday"/>
    <x v="15"/>
    <n v="237"/>
    <n v="4"/>
    <n v="2185"/>
    <n v="395"/>
    <n v="169"/>
    <n v="410"/>
    <n v="1.44576659038901"/>
    <s v="low"/>
    <n v="0"/>
  </r>
  <r>
    <n v="1065"/>
    <x v="2"/>
    <x v="1"/>
    <d v="2024-10-01T00:00:00"/>
    <s v="Tuesday"/>
    <x v="10"/>
    <n v="210"/>
    <n v="18"/>
    <n v="1719"/>
    <n v="77"/>
    <n v="277"/>
    <n v="649"/>
    <n v="1.58347876672484"/>
    <s v="low"/>
    <n v="0"/>
  </r>
  <r>
    <n v="1066"/>
    <x v="1"/>
    <x v="2"/>
    <d v="2024-09-18T00:00:00"/>
    <s v="Wednesday"/>
    <x v="1"/>
    <n v="146"/>
    <n v="2"/>
    <n v="1393"/>
    <n v="434"/>
    <n v="159"/>
    <n v="324"/>
    <n v="1.65829145728643"/>
    <s v="average"/>
    <n v="0"/>
  </r>
  <r>
    <n v="1067"/>
    <x v="1"/>
    <x v="0"/>
    <d v="2024-05-18T00:00:00"/>
    <s v="Saturday"/>
    <x v="6"/>
    <n v="65"/>
    <n v="11"/>
    <n v="1070"/>
    <n v="549"/>
    <n v="114"/>
    <n v="562"/>
    <n v="2.1448598130841101"/>
    <s v="average"/>
    <n v="0"/>
  </r>
  <r>
    <n v="1068"/>
    <x v="0"/>
    <x v="0"/>
    <d v="2024-06-19T00:00:00"/>
    <s v="Wednesday"/>
    <x v="7"/>
    <n v="133"/>
    <n v="12"/>
    <n v="2288"/>
    <n v="154"/>
    <n v="233"/>
    <n v="281"/>
    <n v="1.2919580419580401"/>
    <s v="low"/>
    <n v="0"/>
  </r>
  <r>
    <n v="1069"/>
    <x v="2"/>
    <x v="2"/>
    <d v="2024-02-23T00:00:00"/>
    <s v="Friday"/>
    <x v="0"/>
    <n v="290"/>
    <n v="11"/>
    <n v="1061"/>
    <n v="184"/>
    <n v="541"/>
    <n v="314"/>
    <n v="1.9792648444863301"/>
    <s v="average"/>
    <n v="0"/>
  </r>
  <r>
    <n v="1070"/>
    <x v="0"/>
    <x v="0"/>
    <d v="2024-10-19T00:00:00"/>
    <s v="Saturday"/>
    <x v="2"/>
    <n v="182"/>
    <n v="12"/>
    <n v="2360"/>
    <n v="569"/>
    <n v="279"/>
    <n v="623"/>
    <n v="1.62330508474576"/>
    <s v="average"/>
    <n v="0"/>
  </r>
  <r>
    <n v="1071"/>
    <x v="2"/>
    <x v="2"/>
    <d v="2024-04-02T00:00:00"/>
    <s v="Tuesday"/>
    <x v="11"/>
    <n v="85"/>
    <n v="8"/>
    <n v="2877"/>
    <n v="764"/>
    <n v="546"/>
    <n v="565"/>
    <n v="1.65172054223149"/>
    <s v="average"/>
    <n v="0"/>
  </r>
  <r>
    <n v="1072"/>
    <x v="0"/>
    <x v="0"/>
    <d v="2024-01-05T00:00:00"/>
    <s v="Friday"/>
    <x v="7"/>
    <n v="156"/>
    <n v="1"/>
    <n v="4257"/>
    <n v="735"/>
    <n v="161"/>
    <n v="674"/>
    <n v="1.36880432229269"/>
    <s v="low"/>
    <n v="0"/>
  </r>
  <r>
    <n v="1073"/>
    <x v="0"/>
    <x v="2"/>
    <d v="2024-07-08T00:00:00"/>
    <s v="Monday"/>
    <x v="5"/>
    <n v="259"/>
    <n v="16"/>
    <n v="2090"/>
    <n v="699"/>
    <n v="430"/>
    <n v="469"/>
    <n v="1.7645933014354001"/>
    <s v="average"/>
    <n v="0"/>
  </r>
  <r>
    <n v="1074"/>
    <x v="1"/>
    <x v="1"/>
    <d v="2024-05-26T00:00:00"/>
    <s v="Sunday"/>
    <x v="3"/>
    <n v="176"/>
    <n v="13"/>
    <n v="2309"/>
    <n v="443"/>
    <n v="535"/>
    <n v="235"/>
    <n v="1.52533564313555"/>
    <s v="low"/>
    <n v="0"/>
  </r>
  <r>
    <n v="1075"/>
    <x v="2"/>
    <x v="0"/>
    <d v="2024-06-09T00:00:00"/>
    <s v="Sunday"/>
    <x v="3"/>
    <n v="104"/>
    <n v="18"/>
    <n v="788"/>
    <n v="654"/>
    <n v="83"/>
    <n v="79"/>
    <n v="2.0355329949238499"/>
    <s v="average"/>
    <n v="0"/>
  </r>
  <r>
    <n v="1076"/>
    <x v="1"/>
    <x v="0"/>
    <d v="2024-01-30T00:00:00"/>
    <s v="Tuesday"/>
    <x v="8"/>
    <n v="280"/>
    <n v="4"/>
    <n v="742"/>
    <n v="766"/>
    <n v="294"/>
    <n v="568"/>
    <n v="3.19407008086253"/>
    <s v="high"/>
    <n v="0"/>
  </r>
  <r>
    <n v="1077"/>
    <x v="1"/>
    <x v="0"/>
    <d v="2024-09-02T00:00:00"/>
    <s v="Monday"/>
    <x v="10"/>
    <n v="23"/>
    <n v="13"/>
    <n v="4128"/>
    <n v="532"/>
    <n v="547"/>
    <n v="128"/>
    <n v="1.29239341085271"/>
    <s v="low"/>
    <n v="0"/>
  </r>
  <r>
    <n v="1078"/>
    <x v="0"/>
    <x v="1"/>
    <d v="2024-09-30T00:00:00"/>
    <s v="Monday"/>
    <x v="17"/>
    <n v="106"/>
    <n v="16"/>
    <n v="2876"/>
    <n v="255"/>
    <n v="542"/>
    <n v="624"/>
    <n v="1.49408901251738"/>
    <s v="low"/>
    <n v="0"/>
  </r>
  <r>
    <n v="1079"/>
    <x v="2"/>
    <x v="2"/>
    <d v="2024-04-25T00:00:00"/>
    <s v="Thursday"/>
    <x v="14"/>
    <n v="236"/>
    <n v="15"/>
    <n v="1482"/>
    <n v="81"/>
    <n v="377"/>
    <n v="137"/>
    <n v="1.40148448043184"/>
    <s v="low"/>
    <n v="0"/>
  </r>
  <r>
    <n v="1080"/>
    <x v="2"/>
    <x v="0"/>
    <d v="2024-07-13T00:00:00"/>
    <s v="Saturday"/>
    <x v="13"/>
    <n v="80"/>
    <n v="9"/>
    <n v="1446"/>
    <n v="387"/>
    <n v="117"/>
    <n v="347"/>
    <n v="1.58852005532503"/>
    <s v="low"/>
    <n v="0"/>
  </r>
  <r>
    <n v="1081"/>
    <x v="0"/>
    <x v="1"/>
    <d v="2024-06-02T00:00:00"/>
    <s v="Sunday"/>
    <x v="7"/>
    <n v="131"/>
    <n v="9"/>
    <n v="4007"/>
    <n v="305"/>
    <n v="273"/>
    <n v="219"/>
    <n v="1.1989019216371299"/>
    <s v="low"/>
    <n v="0"/>
  </r>
  <r>
    <n v="1082"/>
    <x v="1"/>
    <x v="0"/>
    <d v="2024-09-20T00:00:00"/>
    <s v="Friday"/>
    <x v="17"/>
    <n v="188"/>
    <n v="9"/>
    <n v="340"/>
    <n v="479"/>
    <n v="501"/>
    <n v="59"/>
    <n v="4.0558823529411701"/>
    <s v="high"/>
    <n v="0"/>
  </r>
  <r>
    <n v="1083"/>
    <x v="1"/>
    <x v="2"/>
    <d v="2024-06-30T00:00:00"/>
    <s v="Sunday"/>
    <x v="1"/>
    <n v="71"/>
    <n v="13"/>
    <n v="927"/>
    <n v="10"/>
    <n v="360"/>
    <n v="191"/>
    <n v="1.6051779935274999"/>
    <s v="low"/>
    <n v="0"/>
  </r>
  <r>
    <n v="1084"/>
    <x v="0"/>
    <x v="2"/>
    <d v="2024-09-08T00:00:00"/>
    <s v="Sunday"/>
    <x v="0"/>
    <n v="269"/>
    <n v="0"/>
    <n v="1668"/>
    <n v="91"/>
    <n v="543"/>
    <n v="527"/>
    <n v="1.69604316546762"/>
    <s v="average"/>
    <n v="0"/>
  </r>
  <r>
    <n v="1085"/>
    <x v="1"/>
    <x v="2"/>
    <d v="2024-03-20T00:00:00"/>
    <s v="Wednesday"/>
    <x v="5"/>
    <n v="239"/>
    <n v="5"/>
    <n v="2099"/>
    <n v="236"/>
    <n v="483"/>
    <n v="405"/>
    <n v="1.5354930919485399"/>
    <s v="low"/>
    <n v="0"/>
  </r>
  <r>
    <n v="1086"/>
    <x v="1"/>
    <x v="0"/>
    <d v="2024-10-01T00:00:00"/>
    <s v="Tuesday"/>
    <x v="9"/>
    <n v="201"/>
    <n v="13"/>
    <n v="2257"/>
    <n v="116"/>
    <n v="451"/>
    <n v="673"/>
    <n v="1.5494018608772699"/>
    <s v="low"/>
    <n v="0"/>
  </r>
  <r>
    <n v="1087"/>
    <x v="0"/>
    <x v="2"/>
    <d v="2024-01-03T00:00:00"/>
    <s v="Wednesday"/>
    <x v="14"/>
    <n v="88"/>
    <n v="12"/>
    <n v="2992"/>
    <n v="731"/>
    <n v="205"/>
    <n v="114"/>
    <n v="1.3509358288769999"/>
    <s v="low"/>
    <n v="0"/>
  </r>
  <r>
    <n v="1088"/>
    <x v="0"/>
    <x v="2"/>
    <d v="2024-08-03T00:00:00"/>
    <s v="Saturday"/>
    <x v="15"/>
    <n v="80"/>
    <n v="13"/>
    <n v="2763"/>
    <n v="37"/>
    <n v="166"/>
    <n v="683"/>
    <n v="1.3206659428157801"/>
    <s v="low"/>
    <n v="0"/>
  </r>
  <r>
    <n v="1089"/>
    <x v="1"/>
    <x v="1"/>
    <d v="2024-09-07T00:00:00"/>
    <s v="Saturday"/>
    <x v="7"/>
    <n v="87"/>
    <n v="3"/>
    <n v="4556"/>
    <n v="512"/>
    <n v="132"/>
    <n v="333"/>
    <n v="1.21444249341527"/>
    <s v="low"/>
    <n v="0"/>
  </r>
  <r>
    <n v="1090"/>
    <x v="2"/>
    <x v="0"/>
    <d v="2024-02-25T00:00:00"/>
    <s v="Sunday"/>
    <x v="16"/>
    <n v="46"/>
    <n v="10"/>
    <n v="223"/>
    <n v="134"/>
    <n v="161"/>
    <n v="353"/>
    <n v="3.9058295964125498"/>
    <s v="high"/>
    <n v="0"/>
  </r>
  <r>
    <n v="1091"/>
    <x v="1"/>
    <x v="2"/>
    <d v="2024-08-07T00:00:00"/>
    <s v="Wednesday"/>
    <x v="4"/>
    <n v="268"/>
    <n v="2"/>
    <n v="4941"/>
    <n v="760"/>
    <n v="10"/>
    <n v="445"/>
    <n v="1.2459016393442599"/>
    <s v="low"/>
    <n v="0"/>
  </r>
  <r>
    <n v="1092"/>
    <x v="0"/>
    <x v="0"/>
    <d v="2024-08-07T00:00:00"/>
    <s v="Wednesday"/>
    <x v="15"/>
    <n v="78"/>
    <n v="8"/>
    <n v="2079"/>
    <n v="637"/>
    <n v="158"/>
    <n v="524"/>
    <n v="1.6344396344396299"/>
    <s v="average"/>
    <n v="0"/>
  </r>
  <r>
    <n v="1093"/>
    <x v="2"/>
    <x v="1"/>
    <d v="2024-05-06T00:00:00"/>
    <s v="Monday"/>
    <x v="12"/>
    <n v="112"/>
    <n v="6"/>
    <n v="3565"/>
    <n v="208"/>
    <n v="487"/>
    <n v="106"/>
    <n v="1.2246844319775501"/>
    <s v="low"/>
    <n v="0"/>
  </r>
  <r>
    <n v="1094"/>
    <x v="0"/>
    <x v="2"/>
    <d v="2024-03-17T00:00:00"/>
    <s v="Sunday"/>
    <x v="10"/>
    <n v="94"/>
    <n v="13"/>
    <n v="1929"/>
    <n v="128"/>
    <n v="137"/>
    <n v="411"/>
    <n v="1.3504406428201099"/>
    <s v="low"/>
    <n v="0"/>
  </r>
  <r>
    <n v="1095"/>
    <x v="1"/>
    <x v="1"/>
    <d v="2024-01-10T00:00:00"/>
    <s v="Wednesday"/>
    <x v="4"/>
    <n v="138"/>
    <n v="7"/>
    <n v="1685"/>
    <n v="98"/>
    <n v="54"/>
    <n v="390"/>
    <n v="1.32166172106824"/>
    <s v="low"/>
    <n v="0"/>
  </r>
  <r>
    <n v="1096"/>
    <x v="1"/>
    <x v="1"/>
    <d v="2024-06-21T00:00:00"/>
    <s v="Friday"/>
    <x v="14"/>
    <n v="175"/>
    <n v="3"/>
    <n v="3540"/>
    <n v="495"/>
    <n v="64"/>
    <n v="523"/>
    <n v="1.30564971751412"/>
    <s v="low"/>
    <n v="0"/>
  </r>
  <r>
    <n v="1097"/>
    <x v="0"/>
    <x v="2"/>
    <d v="2024-05-17T00:00:00"/>
    <s v="Friday"/>
    <x v="14"/>
    <n v="113"/>
    <n v="1"/>
    <n v="3028"/>
    <n v="292"/>
    <n v="361"/>
    <n v="429"/>
    <n v="1.3573315719947101"/>
    <s v="low"/>
    <n v="0"/>
  </r>
  <r>
    <n v="1098"/>
    <x v="1"/>
    <x v="2"/>
    <d v="2024-01-01T00:00:00"/>
    <s v="Monday"/>
    <x v="15"/>
    <n v="71"/>
    <n v="13"/>
    <n v="477"/>
    <n v="681"/>
    <n v="331"/>
    <n v="218"/>
    <n v="3.5786163522012502"/>
    <s v="high"/>
    <n v="0"/>
  </r>
  <r>
    <n v="1099"/>
    <x v="1"/>
    <x v="0"/>
    <d v="2024-04-04T00:00:00"/>
    <s v="Thursday"/>
    <x v="0"/>
    <n v="26"/>
    <n v="17"/>
    <n v="2116"/>
    <n v="508"/>
    <n v="374"/>
    <n v="343"/>
    <n v="1.5789224952740999"/>
    <s v="low"/>
    <n v="0"/>
  </r>
  <r>
    <n v="1100"/>
    <x v="2"/>
    <x v="1"/>
    <d v="2024-03-07T00:00:00"/>
    <s v="Thursday"/>
    <x v="5"/>
    <n v="141"/>
    <n v="20"/>
    <n v="2763"/>
    <n v="374"/>
    <n v="372"/>
    <n v="604"/>
    <n v="1.4885993485342"/>
    <s v="low"/>
    <n v="0"/>
  </r>
  <r>
    <n v="1101"/>
    <x v="0"/>
    <x v="0"/>
    <d v="2024-05-21T00:00:00"/>
    <s v="Tuesday"/>
    <x v="0"/>
    <n v="41"/>
    <n v="18"/>
    <n v="1770"/>
    <n v="603"/>
    <n v="395"/>
    <n v="90"/>
    <n v="1.61468926553672"/>
    <s v="average"/>
    <n v="0"/>
  </r>
  <r>
    <n v="1102"/>
    <x v="0"/>
    <x v="1"/>
    <d v="2024-04-07T00:00:00"/>
    <s v="Sunday"/>
    <x v="6"/>
    <n v="174"/>
    <n v="15"/>
    <n v="1630"/>
    <n v="726"/>
    <n v="458"/>
    <n v="102"/>
    <n v="1.78895705521472"/>
    <s v="average"/>
    <n v="0"/>
  </r>
  <r>
    <n v="1103"/>
    <x v="0"/>
    <x v="0"/>
    <d v="2024-04-13T00:00:00"/>
    <s v="Saturday"/>
    <x v="8"/>
    <n v="149"/>
    <n v="17"/>
    <n v="4420"/>
    <n v="743"/>
    <n v="159"/>
    <n v="45"/>
    <n v="1.2142533936651501"/>
    <s v="low"/>
    <n v="0"/>
  </r>
  <r>
    <n v="1104"/>
    <x v="0"/>
    <x v="2"/>
    <d v="2024-06-26T00:00:00"/>
    <s v="Wednesday"/>
    <x v="8"/>
    <n v="288"/>
    <n v="16"/>
    <n v="3048"/>
    <n v="464"/>
    <n v="122"/>
    <n v="447"/>
    <n v="1.3389107611548501"/>
    <s v="low"/>
    <n v="0"/>
  </r>
  <r>
    <n v="1105"/>
    <x v="1"/>
    <x v="0"/>
    <d v="2024-01-12T00:00:00"/>
    <s v="Friday"/>
    <x v="14"/>
    <n v="117"/>
    <n v="12"/>
    <n v="1417"/>
    <n v="618"/>
    <n v="282"/>
    <n v="133"/>
    <n v="1.7290049400141101"/>
    <s v="average"/>
    <n v="0"/>
  </r>
  <r>
    <n v="1106"/>
    <x v="1"/>
    <x v="1"/>
    <d v="2024-09-10T00:00:00"/>
    <s v="Tuesday"/>
    <x v="7"/>
    <n v="219"/>
    <n v="12"/>
    <n v="4411"/>
    <n v="530"/>
    <n v="78"/>
    <n v="170"/>
    <n v="1.17637723872137"/>
    <s v="low"/>
    <n v="0"/>
  </r>
  <r>
    <n v="1107"/>
    <x v="2"/>
    <x v="0"/>
    <d v="2024-05-19T00:00:00"/>
    <s v="Sunday"/>
    <x v="1"/>
    <n v="282"/>
    <n v="14"/>
    <n v="1745"/>
    <n v="193"/>
    <n v="5"/>
    <n v="164"/>
    <n v="1.2074498567335199"/>
    <s v="low"/>
    <n v="0"/>
  </r>
  <r>
    <n v="1108"/>
    <x v="1"/>
    <x v="1"/>
    <d v="2024-09-14T00:00:00"/>
    <s v="Saturday"/>
    <x v="15"/>
    <n v="80"/>
    <n v="5"/>
    <n v="4351"/>
    <n v="270"/>
    <n v="312"/>
    <n v="226"/>
    <n v="1.18570443576189"/>
    <s v="low"/>
    <n v="0"/>
  </r>
  <r>
    <n v="1109"/>
    <x v="0"/>
    <x v="1"/>
    <d v="2024-04-24T00:00:00"/>
    <s v="Wednesday"/>
    <x v="9"/>
    <n v="162"/>
    <n v="4"/>
    <n v="423"/>
    <n v="551"/>
    <n v="245"/>
    <n v="299"/>
    <n v="3.5886524822695001"/>
    <s v="high"/>
    <n v="0"/>
  </r>
  <r>
    <n v="1110"/>
    <x v="2"/>
    <x v="0"/>
    <d v="2024-05-18T00:00:00"/>
    <s v="Saturday"/>
    <x v="1"/>
    <n v="197"/>
    <n v="20"/>
    <n v="472"/>
    <n v="662"/>
    <n v="256"/>
    <n v="216"/>
    <n v="3.4025423728813502"/>
    <s v="high"/>
    <n v="0"/>
  </r>
  <r>
    <n v="1111"/>
    <x v="2"/>
    <x v="0"/>
    <d v="2024-07-07T00:00:00"/>
    <s v="Sunday"/>
    <x v="8"/>
    <n v="170"/>
    <n v="10"/>
    <n v="2708"/>
    <n v="90"/>
    <n v="564"/>
    <n v="271"/>
    <n v="1.34158050221565"/>
    <s v="low"/>
    <n v="0"/>
  </r>
  <r>
    <n v="1112"/>
    <x v="0"/>
    <x v="2"/>
    <d v="2024-01-30T00:00:00"/>
    <s v="Tuesday"/>
    <x v="1"/>
    <n v="295"/>
    <n v="18"/>
    <n v="135"/>
    <n v="369"/>
    <n v="226"/>
    <n v="287"/>
    <n v="7.5333333333333297"/>
    <s v="high"/>
    <n v="0"/>
  </r>
  <r>
    <n v="1113"/>
    <x v="2"/>
    <x v="1"/>
    <d v="2024-02-24T00:00:00"/>
    <s v="Saturday"/>
    <x v="13"/>
    <n v="125"/>
    <n v="14"/>
    <n v="3179"/>
    <n v="674"/>
    <n v="265"/>
    <n v="642"/>
    <n v="1.4973262032085499"/>
    <s v="low"/>
    <n v="0"/>
  </r>
  <r>
    <n v="1114"/>
    <x v="2"/>
    <x v="2"/>
    <d v="2024-04-22T00:00:00"/>
    <s v="Monday"/>
    <x v="9"/>
    <n v="248"/>
    <n v="7"/>
    <n v="2706"/>
    <n v="280"/>
    <n v="210"/>
    <n v="596"/>
    <n v="1.40133037694013"/>
    <s v="low"/>
    <n v="0"/>
  </r>
  <r>
    <n v="1115"/>
    <x v="1"/>
    <x v="0"/>
    <d v="2024-08-10T00:00:00"/>
    <s v="Saturday"/>
    <x v="17"/>
    <n v="114"/>
    <n v="5"/>
    <n v="3069"/>
    <n v="156"/>
    <n v="492"/>
    <n v="96"/>
    <n v="1.24242424242424"/>
    <s v="low"/>
    <n v="0"/>
  </r>
  <r>
    <n v="1116"/>
    <x v="1"/>
    <x v="0"/>
    <d v="2024-04-06T00:00:00"/>
    <s v="Saturday"/>
    <x v="4"/>
    <n v="103"/>
    <n v="5"/>
    <n v="4716"/>
    <n v="507"/>
    <n v="186"/>
    <n v="664"/>
    <n v="1.28774385072095"/>
    <s v="low"/>
    <n v="0"/>
  </r>
  <r>
    <n v="1117"/>
    <x v="1"/>
    <x v="0"/>
    <d v="2024-07-20T00:00:00"/>
    <s v="Saturday"/>
    <x v="17"/>
    <n v="226"/>
    <n v="3"/>
    <n v="1588"/>
    <n v="76"/>
    <n v="148"/>
    <n v="74"/>
    <n v="1.1876574307304699"/>
    <s v="low"/>
    <n v="0"/>
  </r>
  <r>
    <n v="1118"/>
    <x v="0"/>
    <x v="2"/>
    <d v="2024-09-26T00:00:00"/>
    <s v="Thursday"/>
    <x v="7"/>
    <n v="30"/>
    <n v="3"/>
    <n v="1174"/>
    <n v="749"/>
    <n v="14"/>
    <n v="618"/>
    <n v="2.1763202725723998"/>
    <s v="average"/>
    <n v="0"/>
  </r>
  <r>
    <n v="1119"/>
    <x v="1"/>
    <x v="0"/>
    <d v="2024-01-07T00:00:00"/>
    <s v="Sunday"/>
    <x v="1"/>
    <n v="24"/>
    <n v="3"/>
    <n v="408"/>
    <n v="140"/>
    <n v="256"/>
    <n v="86"/>
    <n v="2.1813725490196001"/>
    <s v="average"/>
    <n v="0"/>
  </r>
  <r>
    <n v="1120"/>
    <x v="0"/>
    <x v="2"/>
    <d v="2024-10-04T00:00:00"/>
    <s v="Friday"/>
    <x v="17"/>
    <n v="103"/>
    <n v="9"/>
    <n v="2822"/>
    <n v="729"/>
    <n v="89"/>
    <n v="208"/>
    <n v="1.36357193479801"/>
    <s v="low"/>
    <n v="0"/>
  </r>
  <r>
    <n v="1121"/>
    <x v="2"/>
    <x v="1"/>
    <d v="2024-06-18T00:00:00"/>
    <s v="Tuesday"/>
    <x v="15"/>
    <n v="298"/>
    <n v="3"/>
    <n v="3973"/>
    <n v="163"/>
    <n v="251"/>
    <n v="58"/>
    <n v="1.11880191291215"/>
    <s v="low"/>
    <n v="0"/>
  </r>
  <r>
    <n v="1122"/>
    <x v="0"/>
    <x v="1"/>
    <d v="2024-01-11T00:00:00"/>
    <s v="Thursday"/>
    <x v="8"/>
    <n v="92"/>
    <n v="0"/>
    <n v="414"/>
    <n v="110"/>
    <n v="559"/>
    <n v="304"/>
    <n v="3.35024154589372"/>
    <s v="high"/>
    <n v="1"/>
  </r>
  <r>
    <n v="1123"/>
    <x v="0"/>
    <x v="2"/>
    <d v="2024-04-24T00:00:00"/>
    <s v="Wednesday"/>
    <x v="4"/>
    <n v="135"/>
    <n v="12"/>
    <n v="246"/>
    <n v="237"/>
    <n v="439"/>
    <n v="395"/>
    <n v="5.3536585365853604"/>
    <s v="high"/>
    <n v="0"/>
  </r>
  <r>
    <n v="1124"/>
    <x v="0"/>
    <x v="2"/>
    <d v="2024-02-27T00:00:00"/>
    <s v="Tuesday"/>
    <x v="5"/>
    <n v="59"/>
    <n v="19"/>
    <n v="4078"/>
    <n v="178"/>
    <n v="114"/>
    <n v="230"/>
    <n v="1.1280039234918999"/>
    <s v="low"/>
    <n v="0"/>
  </r>
  <r>
    <n v="1125"/>
    <x v="2"/>
    <x v="0"/>
    <d v="2024-06-19T00:00:00"/>
    <s v="Wednesday"/>
    <x v="2"/>
    <n v="239"/>
    <n v="16"/>
    <n v="1019"/>
    <n v="374"/>
    <n v="88"/>
    <n v="45"/>
    <n v="1.49754661432777"/>
    <s v="low"/>
    <n v="0"/>
  </r>
  <r>
    <n v="1126"/>
    <x v="2"/>
    <x v="1"/>
    <d v="2024-06-20T00:00:00"/>
    <s v="Thursday"/>
    <x v="4"/>
    <n v="166"/>
    <n v="11"/>
    <n v="4962"/>
    <n v="190"/>
    <n v="437"/>
    <n v="154"/>
    <n v="1.1573962112051499"/>
    <s v="low"/>
    <n v="0"/>
  </r>
  <r>
    <n v="1127"/>
    <x v="2"/>
    <x v="0"/>
    <d v="2024-02-23T00:00:00"/>
    <s v="Friday"/>
    <x v="1"/>
    <n v="96"/>
    <n v="20"/>
    <n v="2270"/>
    <n v="516"/>
    <n v="379"/>
    <n v="272"/>
    <n v="1.5140969162995499"/>
    <s v="low"/>
    <n v="0"/>
  </r>
  <r>
    <n v="1128"/>
    <x v="2"/>
    <x v="2"/>
    <d v="2024-03-16T00:00:00"/>
    <s v="Saturday"/>
    <x v="3"/>
    <n v="77"/>
    <n v="18"/>
    <n v="2673"/>
    <n v="156"/>
    <n v="401"/>
    <n v="458"/>
    <n v="1.3797231575009301"/>
    <s v="low"/>
    <n v="0"/>
  </r>
  <r>
    <n v="1129"/>
    <x v="0"/>
    <x v="0"/>
    <d v="2024-08-06T00:00:00"/>
    <s v="Tuesday"/>
    <x v="7"/>
    <n v="200"/>
    <n v="10"/>
    <n v="2331"/>
    <n v="153"/>
    <n v="94"/>
    <n v="331"/>
    <n v="1.2479622479622401"/>
    <s v="low"/>
    <n v="0"/>
  </r>
  <r>
    <n v="1130"/>
    <x v="2"/>
    <x v="2"/>
    <d v="2024-09-10T00:00:00"/>
    <s v="Tuesday"/>
    <x v="9"/>
    <n v="145"/>
    <n v="12"/>
    <n v="3522"/>
    <n v="497"/>
    <n v="425"/>
    <n v="617"/>
    <n v="1.43696763202725"/>
    <s v="low"/>
    <n v="0"/>
  </r>
  <r>
    <n v="1131"/>
    <x v="1"/>
    <x v="1"/>
    <d v="2024-08-02T00:00:00"/>
    <s v="Friday"/>
    <x v="13"/>
    <n v="137"/>
    <n v="12"/>
    <n v="4550"/>
    <n v="514"/>
    <n v="553"/>
    <n v="547"/>
    <n v="1.35472527472527"/>
    <s v="low"/>
    <n v="0"/>
  </r>
  <r>
    <n v="1132"/>
    <x v="2"/>
    <x v="1"/>
    <d v="2024-02-12T00:00:00"/>
    <s v="Monday"/>
    <x v="16"/>
    <n v="64"/>
    <n v="7"/>
    <n v="4809"/>
    <n v="737"/>
    <n v="433"/>
    <n v="540"/>
    <n v="1.35558328134747"/>
    <s v="low"/>
    <n v="0"/>
  </r>
  <r>
    <n v="1133"/>
    <x v="2"/>
    <x v="2"/>
    <d v="2024-07-04T00:00:00"/>
    <s v="Thursday"/>
    <x v="9"/>
    <n v="76"/>
    <n v="1"/>
    <n v="73"/>
    <n v="213"/>
    <n v="19"/>
    <n v="372"/>
    <n v="9.27397260273972"/>
    <s v="high"/>
    <n v="0"/>
  </r>
  <r>
    <n v="1134"/>
    <x v="0"/>
    <x v="1"/>
    <d v="2024-06-27T00:00:00"/>
    <s v="Thursday"/>
    <x v="8"/>
    <n v="144"/>
    <n v="6"/>
    <n v="3006"/>
    <n v="147"/>
    <n v="303"/>
    <n v="472"/>
    <n v="1.3067198935462401"/>
    <s v="low"/>
    <n v="0"/>
  </r>
  <r>
    <n v="1135"/>
    <x v="2"/>
    <x v="1"/>
    <d v="2024-04-24T00:00:00"/>
    <s v="Wednesday"/>
    <x v="9"/>
    <n v="213"/>
    <n v="0"/>
    <n v="507"/>
    <n v="769"/>
    <n v="143"/>
    <n v="121"/>
    <n v="3.0374753451676502"/>
    <s v="high"/>
    <n v="0"/>
  </r>
  <r>
    <n v="1136"/>
    <x v="2"/>
    <x v="0"/>
    <d v="2024-08-05T00:00:00"/>
    <s v="Monday"/>
    <x v="11"/>
    <n v="100"/>
    <n v="0"/>
    <n v="3094"/>
    <n v="60"/>
    <n v="110"/>
    <n v="679"/>
    <n v="1.2744020685197099"/>
    <s v="low"/>
    <n v="0"/>
  </r>
  <r>
    <n v="1137"/>
    <x v="0"/>
    <x v="0"/>
    <d v="2024-03-16T00:00:00"/>
    <s v="Saturday"/>
    <x v="8"/>
    <n v="96"/>
    <n v="5"/>
    <n v="3042"/>
    <n v="149"/>
    <n v="82"/>
    <n v="251"/>
    <n v="1.1584483892176201"/>
    <s v="low"/>
    <n v="0"/>
  </r>
  <r>
    <n v="1138"/>
    <x v="1"/>
    <x v="2"/>
    <d v="2024-08-28T00:00:00"/>
    <s v="Wednesday"/>
    <x v="6"/>
    <n v="247"/>
    <n v="20"/>
    <n v="1197"/>
    <n v="771"/>
    <n v="542"/>
    <n v="307"/>
    <n v="2.35338345864661"/>
    <s v="average"/>
    <n v="0"/>
  </r>
  <r>
    <n v="1139"/>
    <x v="2"/>
    <x v="0"/>
    <d v="2024-01-07T00:00:00"/>
    <s v="Sunday"/>
    <x v="2"/>
    <n v="277"/>
    <n v="5"/>
    <n v="2399"/>
    <n v="118"/>
    <n v="161"/>
    <n v="62"/>
    <n v="1.1421425593997401"/>
    <s v="low"/>
    <n v="0"/>
  </r>
  <r>
    <n v="1140"/>
    <x v="2"/>
    <x v="2"/>
    <d v="2024-01-06T00:00:00"/>
    <s v="Saturday"/>
    <x v="12"/>
    <n v="176"/>
    <n v="7"/>
    <n v="3297"/>
    <n v="438"/>
    <n v="467"/>
    <n v="568"/>
    <n v="1.4467697907188299"/>
    <s v="low"/>
    <n v="0"/>
  </r>
  <r>
    <n v="1141"/>
    <x v="1"/>
    <x v="0"/>
    <d v="2024-08-04T00:00:00"/>
    <s v="Sunday"/>
    <x v="10"/>
    <n v="225"/>
    <n v="19"/>
    <n v="1334"/>
    <n v="283"/>
    <n v="96"/>
    <n v="535"/>
    <n v="1.6851574212893501"/>
    <s v="average"/>
    <n v="0"/>
  </r>
  <r>
    <n v="1142"/>
    <x v="2"/>
    <x v="0"/>
    <d v="2024-01-29T00:00:00"/>
    <s v="Monday"/>
    <x v="17"/>
    <n v="264"/>
    <n v="10"/>
    <n v="1843"/>
    <n v="406"/>
    <n v="190"/>
    <n v="573"/>
    <n v="1.6342919153553901"/>
    <s v="average"/>
    <n v="0"/>
  </r>
  <r>
    <n v="1143"/>
    <x v="2"/>
    <x v="2"/>
    <d v="2024-07-26T00:00:00"/>
    <s v="Friday"/>
    <x v="10"/>
    <n v="158"/>
    <n v="3"/>
    <n v="3166"/>
    <n v="173"/>
    <n v="57"/>
    <n v="381"/>
    <n v="1.1929879974731501"/>
    <s v="low"/>
    <n v="0"/>
  </r>
  <r>
    <n v="1144"/>
    <x v="0"/>
    <x v="2"/>
    <d v="2024-02-23T00:00:00"/>
    <s v="Friday"/>
    <x v="2"/>
    <n v="297"/>
    <n v="3"/>
    <n v="687"/>
    <n v="376"/>
    <n v="345"/>
    <n v="29"/>
    <n v="2.0917030567685502"/>
    <s v="average"/>
    <n v="0"/>
  </r>
  <r>
    <n v="1145"/>
    <x v="0"/>
    <x v="1"/>
    <d v="2024-02-03T00:00:00"/>
    <s v="Saturday"/>
    <x v="10"/>
    <n v="36"/>
    <n v="7"/>
    <n v="1785"/>
    <n v="616"/>
    <n v="13"/>
    <n v="317"/>
    <n v="1.5299719887955101"/>
    <s v="low"/>
    <n v="0"/>
  </r>
  <r>
    <n v="1146"/>
    <x v="2"/>
    <x v="2"/>
    <d v="2024-05-17T00:00:00"/>
    <s v="Friday"/>
    <x v="14"/>
    <n v="44"/>
    <n v="10"/>
    <n v="746"/>
    <n v="588"/>
    <n v="580"/>
    <n v="46"/>
    <n v="2.6273458445040201"/>
    <s v="high"/>
    <n v="1"/>
  </r>
  <r>
    <n v="1147"/>
    <x v="1"/>
    <x v="1"/>
    <d v="2024-02-17T00:00:00"/>
    <s v="Saturday"/>
    <x v="10"/>
    <n v="181"/>
    <n v="12"/>
    <n v="2578"/>
    <n v="13"/>
    <n v="367"/>
    <n v="290"/>
    <n v="1.25989138867339"/>
    <s v="low"/>
    <n v="0"/>
  </r>
  <r>
    <n v="1148"/>
    <x v="1"/>
    <x v="1"/>
    <d v="2024-07-01T00:00:00"/>
    <s v="Monday"/>
    <x v="12"/>
    <n v="71"/>
    <n v="16"/>
    <n v="1111"/>
    <n v="724"/>
    <n v="101"/>
    <n v="340"/>
    <n v="2.0486048604860398"/>
    <s v="average"/>
    <n v="0"/>
  </r>
  <r>
    <n v="1149"/>
    <x v="2"/>
    <x v="0"/>
    <d v="2024-03-17T00:00:00"/>
    <s v="Sunday"/>
    <x v="4"/>
    <n v="102"/>
    <n v="4"/>
    <n v="244"/>
    <n v="606"/>
    <n v="393"/>
    <n v="489"/>
    <n v="7.0983606557377001"/>
    <s v="high"/>
    <n v="0"/>
  </r>
  <r>
    <n v="1150"/>
    <x v="0"/>
    <x v="1"/>
    <d v="2024-08-25T00:00:00"/>
    <s v="Sunday"/>
    <x v="9"/>
    <n v="102"/>
    <n v="16"/>
    <n v="695"/>
    <n v="645"/>
    <n v="97"/>
    <n v="238"/>
    <n v="2.4100719424460402"/>
    <s v="high"/>
    <n v="0"/>
  </r>
  <r>
    <n v="1151"/>
    <x v="0"/>
    <x v="2"/>
    <d v="2024-09-21T00:00:00"/>
    <s v="Saturday"/>
    <x v="4"/>
    <n v="204"/>
    <n v="19"/>
    <n v="4336"/>
    <n v="792"/>
    <n v="351"/>
    <n v="459"/>
    <n v="1.36946494464944"/>
    <s v="low"/>
    <n v="0"/>
  </r>
  <r>
    <n v="1152"/>
    <x v="0"/>
    <x v="1"/>
    <d v="2024-08-08T00:00:00"/>
    <s v="Thursday"/>
    <x v="3"/>
    <n v="98"/>
    <n v="18"/>
    <n v="377"/>
    <n v="734"/>
    <n v="398"/>
    <n v="245"/>
    <n v="4.6525198938991998"/>
    <s v="high"/>
    <n v="0"/>
  </r>
  <r>
    <n v="1153"/>
    <x v="2"/>
    <x v="0"/>
    <d v="2024-09-11T00:00:00"/>
    <s v="Wednesday"/>
    <x v="11"/>
    <n v="68"/>
    <n v="14"/>
    <n v="847"/>
    <n v="20"/>
    <n v="148"/>
    <n v="317"/>
    <n v="1.5726092089728401"/>
    <s v="low"/>
    <n v="0"/>
  </r>
  <r>
    <n v="1154"/>
    <x v="1"/>
    <x v="1"/>
    <d v="2024-06-09T00:00:00"/>
    <s v="Sunday"/>
    <x v="5"/>
    <n v="200"/>
    <n v="2"/>
    <n v="1440"/>
    <n v="307"/>
    <n v="167"/>
    <n v="70"/>
    <n v="1.37777777777777"/>
    <s v="low"/>
    <n v="0"/>
  </r>
  <r>
    <n v="1155"/>
    <x v="1"/>
    <x v="2"/>
    <d v="2024-02-06T00:00:00"/>
    <s v="Tuesday"/>
    <x v="17"/>
    <n v="91"/>
    <n v="3"/>
    <n v="1517"/>
    <n v="732"/>
    <n v="473"/>
    <n v="265"/>
    <n v="1.9690177982860899"/>
    <s v="average"/>
    <n v="0"/>
  </r>
  <r>
    <n v="1156"/>
    <x v="1"/>
    <x v="2"/>
    <d v="2024-10-18T00:00:00"/>
    <s v="Friday"/>
    <x v="9"/>
    <n v="245"/>
    <n v="11"/>
    <n v="4049"/>
    <n v="45"/>
    <n v="374"/>
    <n v="294"/>
    <n v="1.1760928624351601"/>
    <s v="low"/>
    <n v="0"/>
  </r>
  <r>
    <n v="1157"/>
    <x v="1"/>
    <x v="1"/>
    <d v="2024-09-19T00:00:00"/>
    <s v="Thursday"/>
    <x v="17"/>
    <n v="154"/>
    <n v="1"/>
    <n v="2619"/>
    <n v="387"/>
    <n v="87"/>
    <n v="699"/>
    <n v="1.44788087056128"/>
    <s v="low"/>
    <n v="0"/>
  </r>
  <r>
    <n v="1158"/>
    <x v="0"/>
    <x v="0"/>
    <d v="2024-01-30T00:00:00"/>
    <s v="Tuesday"/>
    <x v="4"/>
    <n v="212"/>
    <n v="5"/>
    <n v="2055"/>
    <n v="721"/>
    <n v="576"/>
    <n v="9"/>
    <n v="1.63552311435523"/>
    <s v="average"/>
    <n v="0"/>
  </r>
  <r>
    <n v="1159"/>
    <x v="1"/>
    <x v="1"/>
    <d v="2024-10-18T00:00:00"/>
    <s v="Friday"/>
    <x v="3"/>
    <n v="198"/>
    <n v="14"/>
    <n v="3320"/>
    <n v="79"/>
    <n v="230"/>
    <n v="398"/>
    <n v="1.2129518072289101"/>
    <s v="low"/>
    <n v="0"/>
  </r>
  <r>
    <n v="1160"/>
    <x v="0"/>
    <x v="1"/>
    <d v="2024-08-27T00:00:00"/>
    <s v="Tuesday"/>
    <x v="0"/>
    <n v="223"/>
    <n v="13"/>
    <n v="4433"/>
    <n v="481"/>
    <n v="113"/>
    <n v="88"/>
    <n v="1.15384615384615"/>
    <s v="low"/>
    <n v="0"/>
  </r>
  <r>
    <n v="1161"/>
    <x v="1"/>
    <x v="1"/>
    <d v="2024-04-12T00:00:00"/>
    <s v="Friday"/>
    <x v="11"/>
    <n v="128"/>
    <n v="15"/>
    <n v="3339"/>
    <n v="341"/>
    <n v="68"/>
    <n v="325"/>
    <n v="1.2198262952979899"/>
    <s v="low"/>
    <n v="0"/>
  </r>
  <r>
    <n v="1162"/>
    <x v="0"/>
    <x v="2"/>
    <d v="2024-02-28T00:00:00"/>
    <s v="Wednesday"/>
    <x v="9"/>
    <n v="129"/>
    <n v="10"/>
    <n v="2330"/>
    <n v="470"/>
    <n v="41"/>
    <n v="559"/>
    <n v="1.4592274678111501"/>
    <s v="low"/>
    <n v="0"/>
  </r>
  <r>
    <n v="1163"/>
    <x v="1"/>
    <x v="2"/>
    <d v="2024-10-17T00:00:00"/>
    <s v="Thursday"/>
    <x v="11"/>
    <n v="129"/>
    <n v="1"/>
    <n v="306"/>
    <n v="620"/>
    <n v="391"/>
    <n v="64"/>
    <n v="4.5130718954248303"/>
    <s v="high"/>
    <n v="0"/>
  </r>
  <r>
    <n v="1164"/>
    <x v="1"/>
    <x v="1"/>
    <d v="2024-04-18T00:00:00"/>
    <s v="Thursday"/>
    <x v="2"/>
    <n v="62"/>
    <n v="4"/>
    <n v="237"/>
    <n v="781"/>
    <n v="435"/>
    <n v="277"/>
    <n v="7.2995780590717301"/>
    <s v="high"/>
    <n v="0"/>
  </r>
  <r>
    <n v="1165"/>
    <x v="2"/>
    <x v="2"/>
    <d v="2024-02-05T00:00:00"/>
    <s v="Monday"/>
    <x v="8"/>
    <n v="288"/>
    <n v="6"/>
    <n v="2293"/>
    <n v="419"/>
    <n v="85"/>
    <n v="306"/>
    <n v="1.35324901875272"/>
    <s v="low"/>
    <n v="0"/>
  </r>
  <r>
    <n v="1166"/>
    <x v="1"/>
    <x v="2"/>
    <d v="2024-05-12T00:00:00"/>
    <s v="Sunday"/>
    <x v="2"/>
    <n v="121"/>
    <n v="11"/>
    <n v="1557"/>
    <n v="60"/>
    <n v="96"/>
    <n v="439"/>
    <n v="1.3821451509312701"/>
    <s v="low"/>
    <n v="0"/>
  </r>
  <r>
    <n v="1167"/>
    <x v="2"/>
    <x v="2"/>
    <d v="2024-08-02T00:00:00"/>
    <s v="Friday"/>
    <x v="5"/>
    <n v="219"/>
    <n v="0"/>
    <n v="3995"/>
    <n v="491"/>
    <n v="550"/>
    <n v="165"/>
    <n v="1.30187734668335"/>
    <s v="low"/>
    <n v="0"/>
  </r>
  <r>
    <n v="1168"/>
    <x v="2"/>
    <x v="1"/>
    <d v="2024-10-14T00:00:00"/>
    <s v="Monday"/>
    <x v="9"/>
    <n v="185"/>
    <n v="10"/>
    <n v="4941"/>
    <n v="208"/>
    <n v="81"/>
    <n v="684"/>
    <n v="1.19692369965594"/>
    <s v="low"/>
    <n v="0"/>
  </r>
  <r>
    <n v="1169"/>
    <x v="1"/>
    <x v="0"/>
    <d v="2024-01-08T00:00:00"/>
    <s v="Monday"/>
    <x v="8"/>
    <n v="154"/>
    <n v="16"/>
    <n v="1282"/>
    <n v="474"/>
    <n v="153"/>
    <n v="512"/>
    <n v="1.88845553822152"/>
    <s v="average"/>
    <n v="0"/>
  </r>
  <r>
    <n v="1170"/>
    <x v="2"/>
    <x v="0"/>
    <d v="2024-01-02T00:00:00"/>
    <s v="Tuesday"/>
    <x v="14"/>
    <n v="131"/>
    <n v="6"/>
    <n v="3740"/>
    <n v="133"/>
    <n v="462"/>
    <n v="655"/>
    <n v="1.33422459893048"/>
    <s v="low"/>
    <n v="0"/>
  </r>
  <r>
    <n v="1171"/>
    <x v="1"/>
    <x v="0"/>
    <d v="2024-08-03T00:00:00"/>
    <s v="Saturday"/>
    <x v="5"/>
    <n v="127"/>
    <n v="6"/>
    <n v="4523"/>
    <n v="797"/>
    <n v="172"/>
    <n v="616"/>
    <n v="1.35043112978111"/>
    <s v="low"/>
    <n v="0"/>
  </r>
  <r>
    <n v="1172"/>
    <x v="1"/>
    <x v="2"/>
    <d v="2024-10-22T00:00:00"/>
    <s v="Tuesday"/>
    <x v="12"/>
    <n v="83"/>
    <n v="15"/>
    <n v="167"/>
    <n v="384"/>
    <n v="374"/>
    <n v="17"/>
    <n v="5.64071856287425"/>
    <s v="high"/>
    <n v="0"/>
  </r>
  <r>
    <n v="1173"/>
    <x v="2"/>
    <x v="2"/>
    <d v="2024-08-21T00:00:00"/>
    <s v="Wednesday"/>
    <x v="12"/>
    <n v="191"/>
    <n v="3"/>
    <n v="3441"/>
    <n v="425"/>
    <n v="362"/>
    <n v="361"/>
    <n v="1.33362394652717"/>
    <s v="low"/>
    <n v="0"/>
  </r>
  <r>
    <n v="1174"/>
    <x v="2"/>
    <x v="1"/>
    <d v="2024-03-31T00:00:00"/>
    <s v="Sunday"/>
    <x v="2"/>
    <n v="297"/>
    <n v="13"/>
    <n v="3808"/>
    <n v="443"/>
    <n v="384"/>
    <n v="182"/>
    <n v="1.26496848739495"/>
    <s v="low"/>
    <n v="0"/>
  </r>
  <r>
    <n v="1175"/>
    <x v="1"/>
    <x v="1"/>
    <d v="2024-07-14T00:00:00"/>
    <s v="Sunday"/>
    <x v="0"/>
    <n v="64"/>
    <n v="3"/>
    <n v="2384"/>
    <n v="680"/>
    <n v="449"/>
    <n v="650"/>
    <n v="1.74622483221476"/>
    <s v="average"/>
    <n v="0"/>
  </r>
  <r>
    <n v="1176"/>
    <x v="1"/>
    <x v="1"/>
    <d v="2024-02-15T00:00:00"/>
    <s v="Thursday"/>
    <x v="13"/>
    <n v="71"/>
    <n v="20"/>
    <n v="184"/>
    <n v="636"/>
    <n v="423"/>
    <n v="107"/>
    <n v="7.3369565217391299"/>
    <s v="high"/>
    <n v="0"/>
  </r>
  <r>
    <n v="1177"/>
    <x v="1"/>
    <x v="2"/>
    <d v="2024-08-15T00:00:00"/>
    <s v="Thursday"/>
    <x v="10"/>
    <n v="134"/>
    <n v="14"/>
    <n v="4173"/>
    <n v="600"/>
    <n v="35"/>
    <n v="684"/>
    <n v="1.3160795590702099"/>
    <s v="low"/>
    <n v="0"/>
  </r>
  <r>
    <n v="1178"/>
    <x v="0"/>
    <x v="2"/>
    <d v="2024-10-09T00:00:00"/>
    <s v="Wednesday"/>
    <x v="17"/>
    <n v="231"/>
    <n v="20"/>
    <n v="3171"/>
    <n v="122"/>
    <n v="202"/>
    <n v="481"/>
    <n v="1.2538631346578299"/>
    <s v="low"/>
    <n v="0"/>
  </r>
  <r>
    <n v="1179"/>
    <x v="1"/>
    <x v="2"/>
    <d v="2024-07-21T00:00:00"/>
    <s v="Sunday"/>
    <x v="15"/>
    <n v="177"/>
    <n v="13"/>
    <n v="112"/>
    <n v="388"/>
    <n v="231"/>
    <n v="520"/>
    <n v="11.169642857142801"/>
    <s v="high"/>
    <n v="0"/>
  </r>
  <r>
    <n v="1180"/>
    <x v="0"/>
    <x v="0"/>
    <d v="2024-05-03T00:00:00"/>
    <s v="Friday"/>
    <x v="5"/>
    <n v="285"/>
    <n v="19"/>
    <n v="84"/>
    <n v="429"/>
    <n v="35"/>
    <n v="16"/>
    <n v="6.71428571428571"/>
    <s v="high"/>
    <n v="0"/>
  </r>
  <r>
    <n v="1181"/>
    <x v="0"/>
    <x v="1"/>
    <d v="2024-06-11T00:00:00"/>
    <s v="Tuesday"/>
    <x v="7"/>
    <n v="118"/>
    <n v="19"/>
    <n v="2795"/>
    <n v="179"/>
    <n v="587"/>
    <n v="441"/>
    <n v="1.43184257602862"/>
    <s v="low"/>
    <n v="0"/>
  </r>
  <r>
    <n v="1182"/>
    <x v="2"/>
    <x v="2"/>
    <d v="2024-07-20T00:00:00"/>
    <s v="Saturday"/>
    <x v="2"/>
    <n v="226"/>
    <n v="10"/>
    <n v="472"/>
    <n v="596"/>
    <n v="441"/>
    <n v="132"/>
    <n v="3.4766949152542299"/>
    <s v="high"/>
    <n v="0"/>
  </r>
  <r>
    <n v="1183"/>
    <x v="2"/>
    <x v="0"/>
    <d v="2024-09-21T00:00:00"/>
    <s v="Saturday"/>
    <x v="12"/>
    <n v="80"/>
    <n v="20"/>
    <n v="1347"/>
    <n v="452"/>
    <n v="238"/>
    <n v="102"/>
    <n v="1.58797327394209"/>
    <s v="low"/>
    <n v="0"/>
  </r>
  <r>
    <n v="1184"/>
    <x v="0"/>
    <x v="2"/>
    <d v="2024-10-22T00:00:00"/>
    <s v="Tuesday"/>
    <x v="10"/>
    <n v="67"/>
    <n v="2"/>
    <n v="3261"/>
    <n v="785"/>
    <n v="268"/>
    <n v="567"/>
    <n v="1.4967801287948399"/>
    <s v="low"/>
    <n v="0"/>
  </r>
  <r>
    <n v="1185"/>
    <x v="2"/>
    <x v="1"/>
    <d v="2024-01-14T00:00:00"/>
    <s v="Sunday"/>
    <x v="13"/>
    <n v="60"/>
    <n v="18"/>
    <n v="3633"/>
    <n v="16"/>
    <n v="158"/>
    <n v="29"/>
    <n v="1.0558766859344799"/>
    <s v="low"/>
    <n v="0"/>
  </r>
  <r>
    <n v="1186"/>
    <x v="2"/>
    <x v="1"/>
    <d v="2024-07-14T00:00:00"/>
    <s v="Sunday"/>
    <x v="5"/>
    <n v="115"/>
    <n v="7"/>
    <n v="257"/>
    <n v="765"/>
    <n v="135"/>
    <n v="465"/>
    <n v="6.3112840466925997"/>
    <s v="high"/>
    <n v="0"/>
  </r>
  <r>
    <n v="1187"/>
    <x v="2"/>
    <x v="2"/>
    <d v="2024-04-23T00:00:00"/>
    <s v="Tuesday"/>
    <x v="15"/>
    <n v="46"/>
    <n v="8"/>
    <n v="2482"/>
    <n v="203"/>
    <n v="550"/>
    <n v="252"/>
    <n v="1.4049153908138601"/>
    <s v="low"/>
    <n v="0"/>
  </r>
  <r>
    <n v="1188"/>
    <x v="2"/>
    <x v="0"/>
    <d v="2024-02-12T00:00:00"/>
    <s v="Monday"/>
    <x v="0"/>
    <n v="255"/>
    <n v="19"/>
    <n v="1227"/>
    <n v="647"/>
    <n v="25"/>
    <n v="654"/>
    <n v="2.0806845965770102"/>
    <s v="average"/>
    <n v="0"/>
  </r>
  <r>
    <n v="1189"/>
    <x v="0"/>
    <x v="0"/>
    <d v="2024-03-03T00:00:00"/>
    <s v="Sunday"/>
    <x v="3"/>
    <n v="273"/>
    <n v="11"/>
    <n v="927"/>
    <n v="150"/>
    <n v="291"/>
    <n v="269"/>
    <n v="1.76591154261057"/>
    <s v="average"/>
    <n v="0"/>
  </r>
  <r>
    <n v="1190"/>
    <x v="1"/>
    <x v="0"/>
    <d v="2024-04-16T00:00:00"/>
    <s v="Tuesday"/>
    <x v="11"/>
    <n v="59"/>
    <n v="6"/>
    <n v="3251"/>
    <n v="108"/>
    <n v="504"/>
    <n v="23"/>
    <n v="1.19532451553368"/>
    <s v="low"/>
    <n v="0"/>
  </r>
  <r>
    <n v="1191"/>
    <x v="0"/>
    <x v="2"/>
    <d v="2024-08-02T00:00:00"/>
    <s v="Friday"/>
    <x v="1"/>
    <n v="111"/>
    <n v="18"/>
    <n v="3124"/>
    <n v="326"/>
    <n v="463"/>
    <n v="165"/>
    <n v="1.3053777208706701"/>
    <s v="low"/>
    <n v="0"/>
  </r>
  <r>
    <n v="1192"/>
    <x v="2"/>
    <x v="1"/>
    <d v="2024-01-17T00:00:00"/>
    <s v="Wednesday"/>
    <x v="13"/>
    <n v="22"/>
    <n v="5"/>
    <n v="1010"/>
    <n v="356"/>
    <n v="357"/>
    <n v="496"/>
    <n v="2.1970297029702901"/>
    <s v="average"/>
    <n v="0"/>
  </r>
  <r>
    <n v="1193"/>
    <x v="0"/>
    <x v="1"/>
    <d v="2024-09-24T00:00:00"/>
    <s v="Tuesday"/>
    <x v="1"/>
    <n v="285"/>
    <n v="16"/>
    <n v="2134"/>
    <n v="129"/>
    <n v="199"/>
    <n v="621"/>
    <n v="1.4447047797563199"/>
    <s v="low"/>
    <n v="0"/>
  </r>
  <r>
    <n v="1194"/>
    <x v="0"/>
    <x v="2"/>
    <d v="2024-03-19T00:00:00"/>
    <s v="Tuesday"/>
    <x v="9"/>
    <n v="132"/>
    <n v="2"/>
    <n v="1821"/>
    <n v="378"/>
    <n v="119"/>
    <n v="223"/>
    <n v="1.39538714991762"/>
    <s v="low"/>
    <n v="0"/>
  </r>
  <r>
    <n v="1195"/>
    <x v="0"/>
    <x v="2"/>
    <d v="2024-03-05T00:00:00"/>
    <s v="Tuesday"/>
    <x v="13"/>
    <n v="170"/>
    <n v="14"/>
    <n v="2242"/>
    <n v="285"/>
    <n v="495"/>
    <n v="205"/>
    <n v="1.4393398751115001"/>
    <s v="low"/>
    <n v="0"/>
  </r>
  <r>
    <n v="1196"/>
    <x v="1"/>
    <x v="0"/>
    <d v="2024-09-10T00:00:00"/>
    <s v="Tuesday"/>
    <x v="10"/>
    <n v="163"/>
    <n v="12"/>
    <n v="3622"/>
    <n v="529"/>
    <n v="411"/>
    <n v="198"/>
    <n v="1.3141910546659299"/>
    <s v="low"/>
    <n v="0"/>
  </r>
  <r>
    <n v="1197"/>
    <x v="0"/>
    <x v="1"/>
    <d v="2024-02-22T00:00:00"/>
    <s v="Thursday"/>
    <x v="11"/>
    <n v="241"/>
    <n v="14"/>
    <n v="4831"/>
    <n v="789"/>
    <n v="321"/>
    <n v="170"/>
    <n v="1.2649554957565701"/>
    <s v="low"/>
    <n v="0"/>
  </r>
  <r>
    <n v="1198"/>
    <x v="2"/>
    <x v="0"/>
    <d v="2024-08-04T00:00:00"/>
    <s v="Sunday"/>
    <x v="7"/>
    <n v="239"/>
    <n v="6"/>
    <n v="4935"/>
    <n v="770"/>
    <n v="280"/>
    <n v="327"/>
    <n v="1.2790273556231"/>
    <s v="low"/>
    <n v="0"/>
  </r>
  <r>
    <n v="1199"/>
    <x v="0"/>
    <x v="0"/>
    <d v="2024-10-17T00:00:00"/>
    <s v="Thursday"/>
    <x v="12"/>
    <n v="149"/>
    <n v="18"/>
    <n v="2941"/>
    <n v="387"/>
    <n v="67"/>
    <n v="461"/>
    <n v="1.3111186671200199"/>
    <s v="low"/>
    <n v="0"/>
  </r>
  <r>
    <n v="1200"/>
    <x v="1"/>
    <x v="0"/>
    <d v="2024-07-28T00:00:00"/>
    <s v="Sunday"/>
    <x v="0"/>
    <n v="112"/>
    <n v="10"/>
    <n v="2454"/>
    <n v="623"/>
    <n v="545"/>
    <n v="361"/>
    <n v="1.6230643846780699"/>
    <s v="average"/>
    <n v="0"/>
  </r>
  <r>
    <n v="1201"/>
    <x v="0"/>
    <x v="1"/>
    <d v="2024-08-07T00:00:00"/>
    <s v="Wednesday"/>
    <x v="5"/>
    <n v="210"/>
    <n v="4"/>
    <n v="1573"/>
    <n v="371"/>
    <n v="253"/>
    <n v="75"/>
    <n v="1.44437380801017"/>
    <s v="low"/>
    <n v="0"/>
  </r>
  <r>
    <n v="1202"/>
    <x v="2"/>
    <x v="2"/>
    <d v="2024-06-09T00:00:00"/>
    <s v="Sunday"/>
    <x v="10"/>
    <n v="258"/>
    <n v="18"/>
    <n v="1051"/>
    <n v="14"/>
    <n v="328"/>
    <n v="12"/>
    <n v="1.3368220742150301"/>
    <s v="low"/>
    <n v="0"/>
  </r>
  <r>
    <n v="1203"/>
    <x v="1"/>
    <x v="1"/>
    <d v="2024-06-13T00:00:00"/>
    <s v="Thursday"/>
    <x v="10"/>
    <n v="289"/>
    <n v="6"/>
    <n v="1955"/>
    <n v="580"/>
    <n v="69"/>
    <n v="395"/>
    <n v="1.5340153452685401"/>
    <s v="low"/>
    <n v="0"/>
  </r>
  <r>
    <n v="1204"/>
    <x v="2"/>
    <x v="2"/>
    <d v="2024-02-22T00:00:00"/>
    <s v="Thursday"/>
    <x v="8"/>
    <n v="182"/>
    <n v="10"/>
    <n v="4645"/>
    <n v="289"/>
    <n v="78"/>
    <n v="588"/>
    <n v="1.2055974165769601"/>
    <s v="low"/>
    <n v="0"/>
  </r>
  <r>
    <n v="1205"/>
    <x v="0"/>
    <x v="2"/>
    <d v="2024-04-11T00:00:00"/>
    <s v="Thursday"/>
    <x v="8"/>
    <n v="81"/>
    <n v="3"/>
    <n v="1664"/>
    <n v="55"/>
    <n v="507"/>
    <n v="511"/>
    <n v="1.6448317307692299"/>
    <s v="average"/>
    <n v="0"/>
  </r>
  <r>
    <n v="1206"/>
    <x v="1"/>
    <x v="0"/>
    <d v="2024-08-19T00:00:00"/>
    <s v="Monday"/>
    <x v="1"/>
    <n v="165"/>
    <n v="0"/>
    <n v="1451"/>
    <n v="620"/>
    <n v="336"/>
    <n v="606"/>
    <n v="2.0764989662301798"/>
    <s v="average"/>
    <n v="0"/>
  </r>
  <r>
    <n v="1207"/>
    <x v="1"/>
    <x v="0"/>
    <d v="2024-10-21T00:00:00"/>
    <s v="Monday"/>
    <x v="13"/>
    <n v="290"/>
    <n v="1"/>
    <n v="88"/>
    <n v="477"/>
    <n v="293"/>
    <n v="135"/>
    <n v="11.284090909090899"/>
    <s v="high"/>
    <n v="0"/>
  </r>
  <r>
    <n v="1208"/>
    <x v="1"/>
    <x v="1"/>
    <d v="2024-06-21T00:00:00"/>
    <s v="Friday"/>
    <x v="4"/>
    <n v="160"/>
    <n v="10"/>
    <n v="183"/>
    <n v="76"/>
    <n v="483"/>
    <n v="98"/>
    <n v="4.5901639344262204"/>
    <s v="high"/>
    <n v="0"/>
  </r>
  <r>
    <n v="1209"/>
    <x v="1"/>
    <x v="1"/>
    <d v="2024-06-26T00:00:00"/>
    <s v="Wednesday"/>
    <x v="14"/>
    <n v="221"/>
    <n v="9"/>
    <n v="3329"/>
    <n v="86"/>
    <n v="571"/>
    <n v="321"/>
    <n v="1.2937819164914299"/>
    <s v="low"/>
    <n v="0"/>
  </r>
  <r>
    <n v="1210"/>
    <x v="2"/>
    <x v="0"/>
    <d v="2024-08-20T00:00:00"/>
    <s v="Tuesday"/>
    <x v="1"/>
    <n v="134"/>
    <n v="1"/>
    <n v="4091"/>
    <n v="661"/>
    <n v="126"/>
    <n v="383"/>
    <n v="1.2859936445856699"/>
    <s v="low"/>
    <n v="0"/>
  </r>
  <r>
    <n v="1211"/>
    <x v="0"/>
    <x v="0"/>
    <d v="2024-01-06T00:00:00"/>
    <s v="Saturday"/>
    <x v="3"/>
    <n v="117"/>
    <n v="11"/>
    <n v="1186"/>
    <n v="112"/>
    <n v="332"/>
    <n v="447"/>
    <n v="1.7512647554806"/>
    <s v="average"/>
    <n v="0"/>
  </r>
  <r>
    <n v="1212"/>
    <x v="0"/>
    <x v="0"/>
    <d v="2024-10-02T00:00:00"/>
    <s v="Wednesday"/>
    <x v="14"/>
    <n v="175"/>
    <n v="2"/>
    <n v="90"/>
    <n v="709"/>
    <n v="55"/>
    <n v="266"/>
    <n v="12.4444444444444"/>
    <s v="high"/>
    <n v="0"/>
  </r>
  <r>
    <n v="1213"/>
    <x v="2"/>
    <x v="0"/>
    <d v="2024-05-15T00:00:00"/>
    <s v="Wednesday"/>
    <x v="9"/>
    <n v="255"/>
    <n v="3"/>
    <n v="2747"/>
    <n v="709"/>
    <n v="390"/>
    <n v="277"/>
    <n v="1.5009100837277001"/>
    <s v="low"/>
    <n v="0"/>
  </r>
  <r>
    <n v="1214"/>
    <x v="2"/>
    <x v="2"/>
    <d v="2024-03-05T00:00:00"/>
    <s v="Tuesday"/>
    <x v="0"/>
    <n v="287"/>
    <n v="16"/>
    <n v="2665"/>
    <n v="156"/>
    <n v="600"/>
    <n v="424"/>
    <n v="1.4427767354596599"/>
    <s v="low"/>
    <n v="0"/>
  </r>
  <r>
    <n v="1215"/>
    <x v="1"/>
    <x v="1"/>
    <d v="2024-05-03T00:00:00"/>
    <s v="Friday"/>
    <x v="11"/>
    <n v="135"/>
    <n v="2"/>
    <n v="4784"/>
    <n v="494"/>
    <n v="503"/>
    <n v="288"/>
    <n v="1.2686036789297599"/>
    <s v="low"/>
    <n v="0"/>
  </r>
  <r>
    <n v="1216"/>
    <x v="2"/>
    <x v="0"/>
    <d v="2024-05-15T00:00:00"/>
    <s v="Wednesday"/>
    <x v="10"/>
    <n v="59"/>
    <n v="2"/>
    <n v="2476"/>
    <n v="733"/>
    <n v="86"/>
    <n v="362"/>
    <n v="1.4769789983844901"/>
    <s v="low"/>
    <n v="0"/>
  </r>
  <r>
    <n v="1217"/>
    <x v="0"/>
    <x v="2"/>
    <d v="2024-09-10T00:00:00"/>
    <s v="Tuesday"/>
    <x v="7"/>
    <n v="116"/>
    <n v="15"/>
    <n v="543"/>
    <n v="222"/>
    <n v="15"/>
    <n v="687"/>
    <n v="2.7016574585635298"/>
    <s v="high"/>
    <n v="0"/>
  </r>
  <r>
    <n v="1218"/>
    <x v="1"/>
    <x v="2"/>
    <d v="2024-02-23T00:00:00"/>
    <s v="Friday"/>
    <x v="17"/>
    <n v="98"/>
    <n v="16"/>
    <n v="2838"/>
    <n v="218"/>
    <n v="542"/>
    <n v="527"/>
    <n v="1.4534883720930201"/>
    <s v="low"/>
    <n v="0"/>
  </r>
  <r>
    <n v="1219"/>
    <x v="1"/>
    <x v="1"/>
    <d v="2024-02-24T00:00:00"/>
    <s v="Saturday"/>
    <x v="12"/>
    <n v="123"/>
    <n v="12"/>
    <n v="1115"/>
    <n v="229"/>
    <n v="374"/>
    <n v="395"/>
    <n v="1.8950672645739901"/>
    <s v="average"/>
    <n v="0"/>
  </r>
  <r>
    <n v="1220"/>
    <x v="2"/>
    <x v="2"/>
    <d v="2024-04-06T00:00:00"/>
    <s v="Saturday"/>
    <x v="0"/>
    <n v="95"/>
    <n v="14"/>
    <n v="612"/>
    <n v="289"/>
    <n v="435"/>
    <n v="169"/>
    <n v="2.45915032679738"/>
    <s v="high"/>
    <n v="0"/>
  </r>
  <r>
    <n v="1221"/>
    <x v="0"/>
    <x v="2"/>
    <d v="2024-02-24T00:00:00"/>
    <s v="Saturday"/>
    <x v="1"/>
    <n v="263"/>
    <n v="16"/>
    <n v="952"/>
    <n v="251"/>
    <n v="18"/>
    <n v="472"/>
    <n v="1.7783613445378099"/>
    <s v="average"/>
    <n v="0"/>
  </r>
  <r>
    <n v="1222"/>
    <x v="0"/>
    <x v="2"/>
    <d v="2024-08-19T00:00:00"/>
    <s v="Monday"/>
    <x v="8"/>
    <n v="128"/>
    <n v="4"/>
    <n v="2933"/>
    <n v="276"/>
    <n v="123"/>
    <n v="564"/>
    <n v="1.3283327650869401"/>
    <s v="low"/>
    <n v="0"/>
  </r>
  <r>
    <n v="1223"/>
    <x v="0"/>
    <x v="2"/>
    <d v="2024-07-22T00:00:00"/>
    <s v="Monday"/>
    <x v="15"/>
    <n v="209"/>
    <n v="3"/>
    <n v="4163"/>
    <n v="446"/>
    <n v="522"/>
    <n v="342"/>
    <n v="1.3146769156858"/>
    <s v="low"/>
    <n v="0"/>
  </r>
  <r>
    <n v="1224"/>
    <x v="1"/>
    <x v="0"/>
    <d v="2024-01-26T00:00:00"/>
    <s v="Friday"/>
    <x v="7"/>
    <n v="110"/>
    <n v="19"/>
    <n v="3183"/>
    <n v="754"/>
    <n v="434"/>
    <n v="199"/>
    <n v="1.43575243480992"/>
    <s v="low"/>
    <n v="0"/>
  </r>
  <r>
    <n v="1225"/>
    <x v="1"/>
    <x v="0"/>
    <d v="2024-05-21T00:00:00"/>
    <s v="Tuesday"/>
    <x v="14"/>
    <n v="147"/>
    <n v="3"/>
    <n v="4388"/>
    <n v="627"/>
    <n v="507"/>
    <n v="532"/>
    <n v="1.37967183226982"/>
    <s v="low"/>
    <n v="0"/>
  </r>
  <r>
    <n v="1226"/>
    <x v="1"/>
    <x v="0"/>
    <d v="2024-04-22T00:00:00"/>
    <s v="Monday"/>
    <x v="3"/>
    <n v="292"/>
    <n v="3"/>
    <n v="993"/>
    <n v="59"/>
    <n v="38"/>
    <n v="590"/>
    <n v="1.69184290030211"/>
    <s v="average"/>
    <n v="0"/>
  </r>
  <r>
    <n v="1227"/>
    <x v="1"/>
    <x v="0"/>
    <d v="2024-05-21T00:00:00"/>
    <s v="Tuesday"/>
    <x v="16"/>
    <n v="157"/>
    <n v="15"/>
    <n v="1905"/>
    <n v="640"/>
    <n v="416"/>
    <n v="402"/>
    <n v="1.7653543307086601"/>
    <s v="average"/>
    <n v="0"/>
  </r>
  <r>
    <n v="1228"/>
    <x v="1"/>
    <x v="1"/>
    <d v="2024-04-15T00:00:00"/>
    <s v="Monday"/>
    <x v="4"/>
    <n v="21"/>
    <n v="3"/>
    <n v="1451"/>
    <n v="213"/>
    <n v="357"/>
    <n v="653"/>
    <n v="1.8428669882839399"/>
    <s v="average"/>
    <n v="0"/>
  </r>
  <r>
    <n v="1229"/>
    <x v="2"/>
    <x v="0"/>
    <d v="2024-04-04T00:00:00"/>
    <s v="Thursday"/>
    <x v="2"/>
    <n v="181"/>
    <n v="2"/>
    <n v="4172"/>
    <n v="722"/>
    <n v="490"/>
    <n v="313"/>
    <n v="1.36553211888782"/>
    <s v="low"/>
    <n v="0"/>
  </r>
  <r>
    <n v="1230"/>
    <x v="0"/>
    <x v="1"/>
    <d v="2024-03-26T00:00:00"/>
    <s v="Tuesday"/>
    <x v="11"/>
    <n v="239"/>
    <n v="10"/>
    <n v="1584"/>
    <n v="345"/>
    <n v="468"/>
    <n v="146"/>
    <n v="1.6054292929292899"/>
    <s v="low"/>
    <n v="0"/>
  </r>
  <r>
    <n v="1231"/>
    <x v="2"/>
    <x v="0"/>
    <d v="2024-01-11T00:00:00"/>
    <s v="Thursday"/>
    <x v="5"/>
    <n v="262"/>
    <n v="18"/>
    <n v="1504"/>
    <n v="275"/>
    <n v="80"/>
    <n v="175"/>
    <n v="1.35239361702127"/>
    <s v="low"/>
    <n v="0"/>
  </r>
  <r>
    <n v="1232"/>
    <x v="0"/>
    <x v="0"/>
    <d v="2024-01-01T00:00:00"/>
    <s v="Monday"/>
    <x v="4"/>
    <n v="136"/>
    <n v="16"/>
    <n v="4050"/>
    <n v="258"/>
    <n v="485"/>
    <n v="113"/>
    <n v="1.21135802469135"/>
    <s v="low"/>
    <n v="0"/>
  </r>
  <r>
    <n v="1233"/>
    <x v="0"/>
    <x v="2"/>
    <d v="2024-09-14T00:00:00"/>
    <s v="Saturday"/>
    <x v="6"/>
    <n v="251"/>
    <n v="15"/>
    <n v="1420"/>
    <n v="778"/>
    <n v="152"/>
    <n v="97"/>
    <n v="1.7232394366197099"/>
    <s v="average"/>
    <n v="0"/>
  </r>
  <r>
    <n v="1234"/>
    <x v="1"/>
    <x v="2"/>
    <d v="2024-06-28T00:00:00"/>
    <s v="Friday"/>
    <x v="1"/>
    <n v="200"/>
    <n v="9"/>
    <n v="4520"/>
    <n v="268"/>
    <n v="500"/>
    <n v="260"/>
    <n v="1.2274336283185801"/>
    <s v="low"/>
    <n v="0"/>
  </r>
  <r>
    <n v="1235"/>
    <x v="1"/>
    <x v="1"/>
    <d v="2024-06-19T00:00:00"/>
    <s v="Wednesday"/>
    <x v="12"/>
    <n v="30"/>
    <n v="4"/>
    <n v="4292"/>
    <n v="798"/>
    <n v="497"/>
    <n v="116"/>
    <n v="1.3287511649580599"/>
    <s v="low"/>
    <n v="0"/>
  </r>
  <r>
    <n v="1236"/>
    <x v="1"/>
    <x v="0"/>
    <d v="2024-07-29T00:00:00"/>
    <s v="Monday"/>
    <x v="16"/>
    <n v="240"/>
    <n v="11"/>
    <n v="1854"/>
    <n v="680"/>
    <n v="147"/>
    <n v="366"/>
    <n v="1.6434735706580299"/>
    <s v="average"/>
    <n v="0"/>
  </r>
  <r>
    <n v="1237"/>
    <x v="0"/>
    <x v="2"/>
    <d v="2024-04-15T00:00:00"/>
    <s v="Monday"/>
    <x v="13"/>
    <n v="250"/>
    <n v="16"/>
    <n v="781"/>
    <n v="203"/>
    <n v="388"/>
    <n v="655"/>
    <n v="2.5953905249679798"/>
    <s v="high"/>
    <n v="0"/>
  </r>
  <r>
    <n v="1238"/>
    <x v="1"/>
    <x v="1"/>
    <d v="2024-03-30T00:00:00"/>
    <s v="Saturday"/>
    <x v="8"/>
    <n v="161"/>
    <n v="9"/>
    <n v="2223"/>
    <n v="700"/>
    <n v="359"/>
    <n v="340"/>
    <n v="1.6293297345928901"/>
    <s v="average"/>
    <n v="0"/>
  </r>
  <r>
    <n v="1239"/>
    <x v="2"/>
    <x v="0"/>
    <d v="2024-04-07T00:00:00"/>
    <s v="Sunday"/>
    <x v="8"/>
    <n v="252"/>
    <n v="18"/>
    <n v="386"/>
    <n v="598"/>
    <n v="534"/>
    <n v="352"/>
    <n v="4.8445595854922203"/>
    <s v="high"/>
    <n v="0"/>
  </r>
  <r>
    <n v="1240"/>
    <x v="2"/>
    <x v="0"/>
    <d v="2024-06-26T00:00:00"/>
    <s v="Wednesday"/>
    <x v="17"/>
    <n v="96"/>
    <n v="16"/>
    <n v="2412"/>
    <n v="117"/>
    <n v="10"/>
    <n v="511"/>
    <n v="1.2645107794361501"/>
    <s v="low"/>
    <n v="0"/>
  </r>
  <r>
    <n v="1241"/>
    <x v="1"/>
    <x v="2"/>
    <d v="2024-05-28T00:00:00"/>
    <s v="Tuesday"/>
    <x v="3"/>
    <n v="170"/>
    <n v="0"/>
    <n v="4622"/>
    <n v="685"/>
    <n v="168"/>
    <n v="311"/>
    <n v="1.2518390307226299"/>
    <s v="low"/>
    <n v="0"/>
  </r>
  <r>
    <n v="1242"/>
    <x v="0"/>
    <x v="0"/>
    <d v="2024-08-20T00:00:00"/>
    <s v="Tuesday"/>
    <x v="11"/>
    <n v="176"/>
    <n v="0"/>
    <n v="385"/>
    <n v="227"/>
    <n v="291"/>
    <n v="608"/>
    <n v="3.9246753246753201"/>
    <s v="high"/>
    <n v="0"/>
  </r>
  <r>
    <n v="1243"/>
    <x v="1"/>
    <x v="0"/>
    <d v="2024-08-08T00:00:00"/>
    <s v="Thursday"/>
    <x v="5"/>
    <n v="165"/>
    <n v="16"/>
    <n v="2935"/>
    <n v="681"/>
    <n v="2"/>
    <n v="52"/>
    <n v="1.2504258943781901"/>
    <s v="low"/>
    <n v="0"/>
  </r>
  <r>
    <n v="1244"/>
    <x v="2"/>
    <x v="0"/>
    <d v="2024-10-14T00:00:00"/>
    <s v="Monday"/>
    <x v="8"/>
    <n v="61"/>
    <n v="9"/>
    <n v="1320"/>
    <n v="93"/>
    <n v="279"/>
    <n v="147"/>
    <n v="1.3931818181818101"/>
    <s v="low"/>
    <n v="0"/>
  </r>
  <r>
    <n v="1245"/>
    <x v="2"/>
    <x v="1"/>
    <d v="2024-04-22T00:00:00"/>
    <s v="Monday"/>
    <x v="7"/>
    <n v="236"/>
    <n v="12"/>
    <n v="313"/>
    <n v="489"/>
    <n v="365"/>
    <n v="255"/>
    <n v="4.5431309904153299"/>
    <s v="high"/>
    <n v="0"/>
  </r>
  <r>
    <n v="1246"/>
    <x v="2"/>
    <x v="2"/>
    <d v="2024-02-20T00:00:00"/>
    <s v="Tuesday"/>
    <x v="6"/>
    <n v="91"/>
    <n v="6"/>
    <n v="2190"/>
    <n v="314"/>
    <n v="320"/>
    <n v="178"/>
    <n v="1.3707762557077601"/>
    <s v="low"/>
    <n v="0"/>
  </r>
  <r>
    <n v="1247"/>
    <x v="1"/>
    <x v="2"/>
    <d v="2024-05-08T00:00:00"/>
    <s v="Wednesday"/>
    <x v="3"/>
    <n v="172"/>
    <n v="18"/>
    <n v="1161"/>
    <n v="431"/>
    <n v="569"/>
    <n v="205"/>
    <n v="2.0378983634797501"/>
    <s v="average"/>
    <n v="1"/>
  </r>
  <r>
    <n v="1248"/>
    <x v="0"/>
    <x v="0"/>
    <d v="2024-08-24T00:00:00"/>
    <s v="Saturday"/>
    <x v="12"/>
    <n v="246"/>
    <n v="10"/>
    <n v="4521"/>
    <n v="192"/>
    <n v="386"/>
    <n v="448"/>
    <n v="1.2269409422694"/>
    <s v="low"/>
    <n v="0"/>
  </r>
  <r>
    <n v="1249"/>
    <x v="1"/>
    <x v="2"/>
    <d v="2024-09-14T00:00:00"/>
    <s v="Saturday"/>
    <x v="8"/>
    <n v="256"/>
    <n v="0"/>
    <n v="2979"/>
    <n v="484"/>
    <n v="364"/>
    <n v="438"/>
    <n v="1.4316884860691499"/>
    <s v="low"/>
    <n v="0"/>
  </r>
  <r>
    <n v="1250"/>
    <x v="0"/>
    <x v="1"/>
    <d v="2024-10-13T00:00:00"/>
    <s v="Sunday"/>
    <x v="4"/>
    <n v="144"/>
    <n v="18"/>
    <n v="266"/>
    <n v="790"/>
    <n v="433"/>
    <n v="91"/>
    <n v="5.9398496240601499"/>
    <s v="high"/>
    <n v="0"/>
  </r>
  <r>
    <n v="1251"/>
    <x v="1"/>
    <x v="0"/>
    <d v="2024-09-19T00:00:00"/>
    <s v="Thursday"/>
    <x v="7"/>
    <n v="84"/>
    <n v="12"/>
    <n v="3106"/>
    <n v="135"/>
    <n v="558"/>
    <n v="580"/>
    <n v="1.4098518995492499"/>
    <s v="low"/>
    <n v="0"/>
  </r>
  <r>
    <n v="1252"/>
    <x v="0"/>
    <x v="0"/>
    <d v="2024-01-04T00:00:00"/>
    <s v="Thursday"/>
    <x v="14"/>
    <n v="158"/>
    <n v="20"/>
    <n v="3841"/>
    <n v="786"/>
    <n v="532"/>
    <n v="472"/>
    <n v="1.4660244727935401"/>
    <s v="low"/>
    <n v="0"/>
  </r>
  <r>
    <n v="1253"/>
    <x v="2"/>
    <x v="2"/>
    <d v="2024-02-24T00:00:00"/>
    <s v="Saturday"/>
    <x v="6"/>
    <n v="51"/>
    <n v="3"/>
    <n v="2781"/>
    <n v="613"/>
    <n v="101"/>
    <n v="298"/>
    <n v="1.3638978784609801"/>
    <s v="low"/>
    <n v="0"/>
  </r>
  <r>
    <n v="1254"/>
    <x v="2"/>
    <x v="0"/>
    <d v="2024-10-26T00:00:00"/>
    <s v="Saturday"/>
    <x v="13"/>
    <n v="273"/>
    <n v="4"/>
    <n v="4234"/>
    <n v="762"/>
    <n v="56"/>
    <n v="210"/>
    <n v="1.24279641001417"/>
    <s v="low"/>
    <n v="0"/>
  </r>
  <r>
    <n v="1255"/>
    <x v="1"/>
    <x v="1"/>
    <d v="2024-04-24T00:00:00"/>
    <s v="Wednesday"/>
    <x v="10"/>
    <n v="78"/>
    <n v="2"/>
    <n v="1317"/>
    <n v="313"/>
    <n v="320"/>
    <n v="7"/>
    <n v="1.48595292331055"/>
    <s v="low"/>
    <n v="0"/>
  </r>
  <r>
    <n v="1256"/>
    <x v="0"/>
    <x v="0"/>
    <d v="2024-01-01T00:00:00"/>
    <s v="Monday"/>
    <x v="10"/>
    <n v="73"/>
    <n v="15"/>
    <n v="1303"/>
    <n v="623"/>
    <n v="125"/>
    <n v="533"/>
    <n v="1.9831158864159599"/>
    <s v="average"/>
    <n v="0"/>
  </r>
  <r>
    <n v="1257"/>
    <x v="0"/>
    <x v="2"/>
    <d v="2024-01-13T00:00:00"/>
    <s v="Saturday"/>
    <x v="7"/>
    <n v="267"/>
    <n v="5"/>
    <n v="4193"/>
    <n v="459"/>
    <n v="402"/>
    <n v="57"/>
    <n v="1.2189363224421601"/>
    <s v="low"/>
    <n v="0"/>
  </r>
  <r>
    <n v="1258"/>
    <x v="2"/>
    <x v="0"/>
    <d v="2024-04-30T00:00:00"/>
    <s v="Tuesday"/>
    <x v="8"/>
    <n v="94"/>
    <n v="20"/>
    <n v="4528"/>
    <n v="271"/>
    <n v="451"/>
    <n v="674"/>
    <n v="1.3083038869257899"/>
    <s v="low"/>
    <n v="0"/>
  </r>
  <r>
    <n v="1259"/>
    <x v="2"/>
    <x v="1"/>
    <d v="2024-01-12T00:00:00"/>
    <s v="Friday"/>
    <x v="13"/>
    <n v="122"/>
    <n v="15"/>
    <n v="1563"/>
    <n v="150"/>
    <n v="248"/>
    <n v="175"/>
    <n v="1.36660268714011"/>
    <s v="low"/>
    <n v="0"/>
  </r>
  <r>
    <n v="1260"/>
    <x v="1"/>
    <x v="2"/>
    <d v="2024-09-02T00:00:00"/>
    <s v="Monday"/>
    <x v="15"/>
    <n v="220"/>
    <n v="12"/>
    <n v="2425"/>
    <n v="301"/>
    <n v="104"/>
    <n v="603"/>
    <n v="1.4156701030927801"/>
    <s v="low"/>
    <n v="0"/>
  </r>
  <r>
    <n v="1261"/>
    <x v="0"/>
    <x v="2"/>
    <d v="2024-02-24T00:00:00"/>
    <s v="Saturday"/>
    <x v="17"/>
    <n v="81"/>
    <n v="18"/>
    <n v="3850"/>
    <n v="431"/>
    <n v="437"/>
    <n v="152"/>
    <n v="1.2649350649350599"/>
    <s v="low"/>
    <n v="0"/>
  </r>
  <r>
    <n v="1262"/>
    <x v="2"/>
    <x v="1"/>
    <d v="2024-07-18T00:00:00"/>
    <s v="Thursday"/>
    <x v="17"/>
    <n v="41"/>
    <n v="11"/>
    <n v="140"/>
    <n v="599"/>
    <n v="312"/>
    <n v="35"/>
    <n v="7.75714285714285"/>
    <s v="high"/>
    <n v="0"/>
  </r>
  <r>
    <n v="1263"/>
    <x v="0"/>
    <x v="0"/>
    <d v="2024-03-12T00:00:00"/>
    <s v="Tuesday"/>
    <x v="5"/>
    <n v="276"/>
    <n v="16"/>
    <n v="3883"/>
    <n v="745"/>
    <n v="471"/>
    <n v="284"/>
    <n v="1.38629925315477"/>
    <s v="low"/>
    <n v="0"/>
  </r>
  <r>
    <n v="1264"/>
    <x v="2"/>
    <x v="0"/>
    <d v="2024-04-17T00:00:00"/>
    <s v="Wednesday"/>
    <x v="2"/>
    <n v="97"/>
    <n v="11"/>
    <n v="2907"/>
    <n v="728"/>
    <n v="539"/>
    <n v="400"/>
    <n v="1.5734434124526999"/>
    <s v="low"/>
    <n v="0"/>
  </r>
  <r>
    <n v="1265"/>
    <x v="2"/>
    <x v="2"/>
    <d v="2024-10-15T00:00:00"/>
    <s v="Tuesday"/>
    <x v="7"/>
    <n v="54"/>
    <n v="20"/>
    <n v="2829"/>
    <n v="475"/>
    <n v="145"/>
    <n v="286"/>
    <n v="1.3202545068928899"/>
    <s v="low"/>
    <n v="0"/>
  </r>
  <r>
    <n v="1266"/>
    <x v="2"/>
    <x v="1"/>
    <d v="2024-09-04T00:00:00"/>
    <s v="Wednesday"/>
    <x v="12"/>
    <n v="152"/>
    <n v="4"/>
    <n v="3134"/>
    <n v="488"/>
    <n v="186"/>
    <n v="590"/>
    <n v="1.40331844288449"/>
    <s v="low"/>
    <n v="0"/>
  </r>
  <r>
    <n v="1267"/>
    <x v="2"/>
    <x v="2"/>
    <d v="2024-06-14T00:00:00"/>
    <s v="Friday"/>
    <x v="3"/>
    <n v="43"/>
    <n v="0"/>
    <n v="4873"/>
    <n v="599"/>
    <n v="358"/>
    <n v="599"/>
    <n v="1.31931048635337"/>
    <s v="low"/>
    <n v="0"/>
  </r>
  <r>
    <n v="1268"/>
    <x v="2"/>
    <x v="2"/>
    <d v="2024-03-22T00:00:00"/>
    <s v="Friday"/>
    <x v="6"/>
    <n v="138"/>
    <n v="7"/>
    <n v="1948"/>
    <n v="103"/>
    <n v="110"/>
    <n v="512"/>
    <n v="1.37217659137577"/>
    <s v="low"/>
    <n v="0"/>
  </r>
  <r>
    <n v="1269"/>
    <x v="0"/>
    <x v="0"/>
    <d v="2024-02-23T00:00:00"/>
    <s v="Friday"/>
    <x v="15"/>
    <n v="78"/>
    <n v="1"/>
    <n v="1475"/>
    <n v="750"/>
    <n v="395"/>
    <n v="431"/>
    <n v="2.0684745762711798"/>
    <s v="average"/>
    <n v="0"/>
  </r>
  <r>
    <n v="1270"/>
    <x v="2"/>
    <x v="0"/>
    <d v="2024-02-07T00:00:00"/>
    <s v="Wednesday"/>
    <x v="2"/>
    <n v="184"/>
    <n v="3"/>
    <n v="3667"/>
    <n v="786"/>
    <n v="385"/>
    <n v="622"/>
    <n v="1.4889555494955"/>
    <s v="low"/>
    <n v="0"/>
  </r>
  <r>
    <n v="1271"/>
    <x v="0"/>
    <x v="0"/>
    <d v="2024-08-18T00:00:00"/>
    <s v="Sunday"/>
    <x v="15"/>
    <n v="271"/>
    <n v="14"/>
    <n v="3143"/>
    <n v="141"/>
    <n v="589"/>
    <n v="570"/>
    <n v="1.4136175628380501"/>
    <s v="low"/>
    <n v="0"/>
  </r>
  <r>
    <n v="1272"/>
    <x v="2"/>
    <x v="0"/>
    <d v="2024-05-26T00:00:00"/>
    <s v="Sunday"/>
    <x v="3"/>
    <n v="32"/>
    <n v="20"/>
    <n v="1897"/>
    <n v="211"/>
    <n v="167"/>
    <n v="445"/>
    <n v="1.4338429098576699"/>
    <s v="low"/>
    <n v="0"/>
  </r>
  <r>
    <n v="1273"/>
    <x v="1"/>
    <x v="2"/>
    <d v="2024-02-19T00:00:00"/>
    <s v="Monday"/>
    <x v="13"/>
    <n v="56"/>
    <n v="10"/>
    <n v="1717"/>
    <n v="39"/>
    <n v="145"/>
    <n v="6"/>
    <n v="1.1106581246359899"/>
    <s v="low"/>
    <n v="0"/>
  </r>
  <r>
    <n v="1274"/>
    <x v="2"/>
    <x v="2"/>
    <d v="2024-04-04T00:00:00"/>
    <s v="Thursday"/>
    <x v="12"/>
    <n v="200"/>
    <n v="11"/>
    <n v="4376"/>
    <n v="513"/>
    <n v="196"/>
    <n v="213"/>
    <n v="1.21069469835466"/>
    <s v="low"/>
    <n v="0"/>
  </r>
  <r>
    <n v="1275"/>
    <x v="2"/>
    <x v="2"/>
    <d v="2024-10-13T00:00:00"/>
    <s v="Sunday"/>
    <x v="3"/>
    <n v="60"/>
    <n v="4"/>
    <n v="1179"/>
    <n v="73"/>
    <n v="451"/>
    <n v="438"/>
    <n v="1.81594571670907"/>
    <s v="average"/>
    <n v="0"/>
  </r>
  <r>
    <n v="1276"/>
    <x v="0"/>
    <x v="0"/>
    <d v="2024-09-21T00:00:00"/>
    <s v="Saturday"/>
    <x v="13"/>
    <n v="189"/>
    <n v="0"/>
    <n v="2493"/>
    <n v="108"/>
    <n v="122"/>
    <n v="511"/>
    <n v="1.29723225030084"/>
    <s v="low"/>
    <n v="0"/>
  </r>
  <r>
    <n v="1277"/>
    <x v="0"/>
    <x v="0"/>
    <d v="2024-04-24T00:00:00"/>
    <s v="Wednesday"/>
    <x v="4"/>
    <n v="58"/>
    <n v="17"/>
    <n v="2424"/>
    <n v="262"/>
    <n v="401"/>
    <n v="367"/>
    <n v="1.42491749174917"/>
    <s v="low"/>
    <n v="0"/>
  </r>
  <r>
    <n v="1278"/>
    <x v="1"/>
    <x v="1"/>
    <d v="2024-10-21T00:00:00"/>
    <s v="Monday"/>
    <x v="14"/>
    <n v="299"/>
    <n v="3"/>
    <n v="2027"/>
    <n v="535"/>
    <n v="514"/>
    <n v="320"/>
    <n v="1.6753823384311699"/>
    <s v="average"/>
    <n v="0"/>
  </r>
  <r>
    <n v="1279"/>
    <x v="1"/>
    <x v="2"/>
    <d v="2024-10-25T00:00:00"/>
    <s v="Friday"/>
    <x v="15"/>
    <n v="122"/>
    <n v="10"/>
    <n v="3908"/>
    <n v="274"/>
    <n v="32"/>
    <n v="34"/>
    <n v="1.08700102354145"/>
    <s v="low"/>
    <n v="0"/>
  </r>
  <r>
    <n v="1280"/>
    <x v="2"/>
    <x v="0"/>
    <d v="2024-01-31T00:00:00"/>
    <s v="Wednesday"/>
    <x v="16"/>
    <n v="272"/>
    <n v="2"/>
    <n v="1191"/>
    <n v="214"/>
    <n v="562"/>
    <n v="338"/>
    <n v="1.9353484466834501"/>
    <s v="average"/>
    <n v="0"/>
  </r>
  <r>
    <n v="1281"/>
    <x v="2"/>
    <x v="1"/>
    <d v="2024-10-15T00:00:00"/>
    <s v="Tuesday"/>
    <x v="3"/>
    <n v="265"/>
    <n v="4"/>
    <n v="339"/>
    <n v="359"/>
    <n v="74"/>
    <n v="427"/>
    <n v="3.53687315634218"/>
    <s v="high"/>
    <n v="0"/>
  </r>
  <r>
    <n v="1282"/>
    <x v="2"/>
    <x v="0"/>
    <d v="2024-05-18T00:00:00"/>
    <s v="Saturday"/>
    <x v="5"/>
    <n v="240"/>
    <n v="15"/>
    <n v="391"/>
    <n v="111"/>
    <n v="38"/>
    <n v="509"/>
    <n v="2.68286445012787"/>
    <s v="high"/>
    <n v="0"/>
  </r>
  <r>
    <n v="1283"/>
    <x v="0"/>
    <x v="1"/>
    <d v="2024-06-04T00:00:00"/>
    <s v="Tuesday"/>
    <x v="7"/>
    <n v="29"/>
    <n v="17"/>
    <n v="1915"/>
    <n v="26"/>
    <n v="58"/>
    <n v="27"/>
    <n v="1.0579634464751899"/>
    <s v="low"/>
    <n v="0"/>
  </r>
  <r>
    <n v="1284"/>
    <x v="1"/>
    <x v="1"/>
    <d v="2024-09-03T00:00:00"/>
    <s v="Tuesday"/>
    <x v="8"/>
    <n v="90"/>
    <n v="3"/>
    <n v="477"/>
    <n v="401"/>
    <n v="388"/>
    <n v="129"/>
    <n v="2.9245283018867898"/>
    <s v="high"/>
    <n v="0"/>
  </r>
  <r>
    <n v="1285"/>
    <x v="0"/>
    <x v="2"/>
    <d v="2024-08-12T00:00:00"/>
    <s v="Monday"/>
    <x v="8"/>
    <n v="49"/>
    <n v="7"/>
    <n v="1016"/>
    <n v="635"/>
    <n v="378"/>
    <n v="361"/>
    <n v="2.3523622047243999"/>
    <s v="average"/>
    <n v="0"/>
  </r>
  <r>
    <n v="1286"/>
    <x v="1"/>
    <x v="1"/>
    <d v="2024-04-28T00:00:00"/>
    <s v="Sunday"/>
    <x v="13"/>
    <n v="43"/>
    <n v="0"/>
    <n v="803"/>
    <n v="607"/>
    <n v="12"/>
    <n v="233"/>
    <n v="2.0610211706102102"/>
    <s v="average"/>
    <n v="0"/>
  </r>
  <r>
    <n v="1287"/>
    <x v="1"/>
    <x v="0"/>
    <d v="2024-05-07T00:00:00"/>
    <s v="Tuesday"/>
    <x v="4"/>
    <n v="42"/>
    <n v="10"/>
    <n v="515"/>
    <n v="83"/>
    <n v="60"/>
    <n v="130"/>
    <n v="1.5300970873786399"/>
    <s v="low"/>
    <n v="0"/>
  </r>
  <r>
    <n v="1288"/>
    <x v="0"/>
    <x v="1"/>
    <d v="2024-06-28T00:00:00"/>
    <s v="Friday"/>
    <x v="7"/>
    <n v="265"/>
    <n v="3"/>
    <n v="4984"/>
    <n v="675"/>
    <n v="252"/>
    <n v="300"/>
    <n v="1.24618780096308"/>
    <s v="low"/>
    <n v="0"/>
  </r>
  <r>
    <n v="1289"/>
    <x v="1"/>
    <x v="1"/>
    <d v="2024-02-09T00:00:00"/>
    <s v="Friday"/>
    <x v="5"/>
    <n v="132"/>
    <n v="14"/>
    <n v="675"/>
    <n v="261"/>
    <n v="558"/>
    <n v="211"/>
    <n v="2.5259259259259199"/>
    <s v="high"/>
    <n v="1"/>
  </r>
  <r>
    <n v="1290"/>
    <x v="0"/>
    <x v="1"/>
    <d v="2024-06-03T00:00:00"/>
    <s v="Monday"/>
    <x v="15"/>
    <n v="183"/>
    <n v="17"/>
    <n v="3055"/>
    <n v="569"/>
    <n v="301"/>
    <n v="670"/>
    <n v="1.5040916530278201"/>
    <s v="low"/>
    <n v="0"/>
  </r>
  <r>
    <n v="1291"/>
    <x v="2"/>
    <x v="1"/>
    <d v="2024-09-14T00:00:00"/>
    <s v="Saturday"/>
    <x v="11"/>
    <n v="163"/>
    <n v="2"/>
    <n v="905"/>
    <n v="60"/>
    <n v="356"/>
    <n v="421"/>
    <n v="1.92486187845303"/>
    <s v="average"/>
    <n v="0"/>
  </r>
  <r>
    <n v="1292"/>
    <x v="2"/>
    <x v="1"/>
    <d v="2024-04-14T00:00:00"/>
    <s v="Sunday"/>
    <x v="10"/>
    <n v="82"/>
    <n v="11"/>
    <n v="1173"/>
    <n v="538"/>
    <n v="238"/>
    <n v="313"/>
    <n v="1.92838874680306"/>
    <s v="average"/>
    <n v="0"/>
  </r>
  <r>
    <n v="1293"/>
    <x v="1"/>
    <x v="0"/>
    <d v="2024-03-13T00:00:00"/>
    <s v="Wednesday"/>
    <x v="1"/>
    <n v="275"/>
    <n v="1"/>
    <n v="343"/>
    <n v="245"/>
    <n v="452"/>
    <n v="666"/>
    <n v="4.9737609329446002"/>
    <s v="high"/>
    <n v="0"/>
  </r>
  <r>
    <n v="1294"/>
    <x v="0"/>
    <x v="0"/>
    <d v="2024-05-18T00:00:00"/>
    <s v="Saturday"/>
    <x v="15"/>
    <n v="216"/>
    <n v="15"/>
    <n v="2327"/>
    <n v="607"/>
    <n v="395"/>
    <n v="308"/>
    <n v="1.56295659647614"/>
    <s v="low"/>
    <n v="0"/>
  </r>
  <r>
    <n v="1295"/>
    <x v="0"/>
    <x v="0"/>
    <d v="2024-01-10T00:00:00"/>
    <s v="Wednesday"/>
    <x v="7"/>
    <n v="114"/>
    <n v="13"/>
    <n v="3184"/>
    <n v="398"/>
    <n v="456"/>
    <n v="46"/>
    <n v="1.28266331658291"/>
    <s v="low"/>
    <n v="0"/>
  </r>
  <r>
    <n v="1296"/>
    <x v="2"/>
    <x v="2"/>
    <d v="2024-09-29T00:00:00"/>
    <s v="Sunday"/>
    <x v="1"/>
    <n v="192"/>
    <n v="8"/>
    <n v="478"/>
    <n v="681"/>
    <n v="314"/>
    <n v="33"/>
    <n v="3.1506276150627599"/>
    <s v="high"/>
    <n v="0"/>
  </r>
  <r>
    <n v="1297"/>
    <x v="2"/>
    <x v="1"/>
    <d v="2024-04-20T00:00:00"/>
    <s v="Saturday"/>
    <x v="14"/>
    <n v="75"/>
    <n v="17"/>
    <n v="274"/>
    <n v="354"/>
    <n v="446"/>
    <n v="438"/>
    <n v="5.5182481751824799"/>
    <s v="high"/>
    <n v="0"/>
  </r>
  <r>
    <n v="1298"/>
    <x v="2"/>
    <x v="1"/>
    <d v="2024-07-17T00:00:00"/>
    <s v="Wednesday"/>
    <x v="12"/>
    <n v="153"/>
    <n v="5"/>
    <n v="2404"/>
    <n v="552"/>
    <n v="476"/>
    <n v="435"/>
    <n v="1.6085690515806901"/>
    <s v="average"/>
    <n v="0"/>
  </r>
  <r>
    <n v="1299"/>
    <x v="0"/>
    <x v="2"/>
    <d v="2024-07-14T00:00:00"/>
    <s v="Sunday"/>
    <x v="15"/>
    <n v="63"/>
    <n v="7"/>
    <n v="3878"/>
    <n v="768"/>
    <n v="245"/>
    <n v="136"/>
    <n v="1.2962867457452201"/>
    <s v="low"/>
    <n v="0"/>
  </r>
  <r>
    <n v="1300"/>
    <x v="0"/>
    <x v="1"/>
    <d v="2024-10-04T00:00:00"/>
    <s v="Friday"/>
    <x v="15"/>
    <n v="205"/>
    <n v="8"/>
    <n v="2473"/>
    <n v="350"/>
    <n v="586"/>
    <n v="405"/>
    <n v="1.5422563687828501"/>
    <s v="low"/>
    <n v="0"/>
  </r>
  <r>
    <n v="1301"/>
    <x v="2"/>
    <x v="2"/>
    <d v="2024-05-08T00:00:00"/>
    <s v="Wednesday"/>
    <x v="15"/>
    <n v="111"/>
    <n v="14"/>
    <n v="151"/>
    <n v="132"/>
    <n v="316"/>
    <n v="583"/>
    <n v="7.8278145695364199"/>
    <s v="high"/>
    <n v="0"/>
  </r>
  <r>
    <n v="1302"/>
    <x v="0"/>
    <x v="2"/>
    <d v="2024-08-24T00:00:00"/>
    <s v="Saturday"/>
    <x v="11"/>
    <n v="131"/>
    <n v="13"/>
    <n v="191"/>
    <n v="455"/>
    <n v="11"/>
    <n v="478"/>
    <n v="5.9424083769633498"/>
    <s v="high"/>
    <n v="0"/>
  </r>
  <r>
    <n v="1303"/>
    <x v="2"/>
    <x v="2"/>
    <d v="2024-01-30T00:00:00"/>
    <s v="Tuesday"/>
    <x v="3"/>
    <n v="245"/>
    <n v="5"/>
    <n v="4797"/>
    <n v="86"/>
    <n v="285"/>
    <n v="625"/>
    <n v="1.2076297686053701"/>
    <s v="low"/>
    <n v="0"/>
  </r>
  <r>
    <n v="1304"/>
    <x v="0"/>
    <x v="1"/>
    <d v="2024-05-12T00:00:00"/>
    <s v="Sunday"/>
    <x v="2"/>
    <n v="95"/>
    <n v="19"/>
    <n v="2312"/>
    <n v="270"/>
    <n v="508"/>
    <n v="131"/>
    <n v="1.3931660899653899"/>
    <s v="low"/>
    <n v="0"/>
  </r>
  <r>
    <n v="1305"/>
    <x v="2"/>
    <x v="1"/>
    <d v="2024-01-26T00:00:00"/>
    <s v="Friday"/>
    <x v="17"/>
    <n v="182"/>
    <n v="1"/>
    <n v="1956"/>
    <n v="122"/>
    <n v="41"/>
    <n v="189"/>
    <n v="1.17995910020449"/>
    <s v="low"/>
    <n v="0"/>
  </r>
  <r>
    <n v="1306"/>
    <x v="0"/>
    <x v="1"/>
    <d v="2024-10-10T00:00:00"/>
    <s v="Thursday"/>
    <x v="5"/>
    <n v="296"/>
    <n v="1"/>
    <n v="1917"/>
    <n v="67"/>
    <n v="267"/>
    <n v="264"/>
    <n v="1.31194574856546"/>
    <s v="low"/>
    <n v="0"/>
  </r>
  <r>
    <n v="1307"/>
    <x v="1"/>
    <x v="0"/>
    <d v="2024-04-30T00:00:00"/>
    <s v="Tuesday"/>
    <x v="12"/>
    <n v="59"/>
    <n v="7"/>
    <n v="2914"/>
    <n v="116"/>
    <n v="81"/>
    <n v="520"/>
    <n v="1.2460535346602599"/>
    <s v="low"/>
    <n v="0"/>
  </r>
  <r>
    <n v="1308"/>
    <x v="1"/>
    <x v="0"/>
    <d v="2024-04-14T00:00:00"/>
    <s v="Sunday"/>
    <x v="8"/>
    <n v="164"/>
    <n v="4"/>
    <n v="2718"/>
    <n v="589"/>
    <n v="382"/>
    <n v="698"/>
    <n v="1.6140544518027899"/>
    <s v="average"/>
    <n v="0"/>
  </r>
  <r>
    <n v="1309"/>
    <x v="1"/>
    <x v="1"/>
    <d v="2024-01-13T00:00:00"/>
    <s v="Saturday"/>
    <x v="5"/>
    <n v="260"/>
    <n v="9"/>
    <n v="2725"/>
    <n v="626"/>
    <n v="370"/>
    <n v="344"/>
    <n v="1.49174311926605"/>
    <s v="low"/>
    <n v="0"/>
  </r>
  <r>
    <n v="1310"/>
    <x v="0"/>
    <x v="1"/>
    <d v="2024-01-16T00:00:00"/>
    <s v="Tuesday"/>
    <x v="1"/>
    <n v="74"/>
    <n v="19"/>
    <n v="1363"/>
    <n v="382"/>
    <n v="47"/>
    <n v="298"/>
    <n v="1.5333822450476799"/>
    <s v="low"/>
    <n v="0"/>
  </r>
  <r>
    <n v="1311"/>
    <x v="2"/>
    <x v="2"/>
    <d v="2024-04-18T00:00:00"/>
    <s v="Thursday"/>
    <x v="10"/>
    <n v="213"/>
    <n v="18"/>
    <n v="2614"/>
    <n v="528"/>
    <n v="522"/>
    <n v="596"/>
    <n v="1.6296863045141501"/>
    <s v="average"/>
    <n v="0"/>
  </r>
  <r>
    <n v="1312"/>
    <x v="0"/>
    <x v="1"/>
    <d v="2024-01-17T00:00:00"/>
    <s v="Wednesday"/>
    <x v="12"/>
    <n v="300"/>
    <n v="13"/>
    <n v="1279"/>
    <n v="395"/>
    <n v="82"/>
    <n v="80"/>
    <n v="1.4354964816262701"/>
    <s v="low"/>
    <n v="0"/>
  </r>
  <r>
    <n v="1313"/>
    <x v="1"/>
    <x v="1"/>
    <d v="2024-10-02T00:00:00"/>
    <s v="Wednesday"/>
    <x v="12"/>
    <n v="286"/>
    <n v="14"/>
    <n v="1043"/>
    <n v="545"/>
    <n v="54"/>
    <n v="622"/>
    <n v="2.1706615532118798"/>
    <s v="average"/>
    <n v="0"/>
  </r>
  <r>
    <n v="1314"/>
    <x v="0"/>
    <x v="2"/>
    <d v="2024-06-11T00:00:00"/>
    <s v="Tuesday"/>
    <x v="16"/>
    <n v="205"/>
    <n v="7"/>
    <n v="2255"/>
    <n v="204"/>
    <n v="591"/>
    <n v="301"/>
    <n v="1.4860310421286"/>
    <s v="low"/>
    <n v="0"/>
  </r>
  <r>
    <n v="1315"/>
    <x v="1"/>
    <x v="1"/>
    <d v="2024-08-21T00:00:00"/>
    <s v="Wednesday"/>
    <x v="8"/>
    <n v="205"/>
    <n v="2"/>
    <n v="2628"/>
    <n v="771"/>
    <n v="120"/>
    <n v="247"/>
    <n v="1.4330289193302801"/>
    <s v="low"/>
    <n v="0"/>
  </r>
  <r>
    <n v="1316"/>
    <x v="2"/>
    <x v="2"/>
    <d v="2024-06-29T00:00:00"/>
    <s v="Saturday"/>
    <x v="16"/>
    <n v="249"/>
    <n v="13"/>
    <n v="4641"/>
    <n v="522"/>
    <n v="80"/>
    <n v="371"/>
    <n v="1.20965309200603"/>
    <s v="low"/>
    <n v="0"/>
  </r>
  <r>
    <n v="1317"/>
    <x v="1"/>
    <x v="1"/>
    <d v="2024-04-27T00:00:00"/>
    <s v="Saturday"/>
    <x v="9"/>
    <n v="153"/>
    <n v="9"/>
    <n v="4714"/>
    <n v="133"/>
    <n v="552"/>
    <n v="251"/>
    <n v="1.19855748833262"/>
    <s v="low"/>
    <n v="0"/>
  </r>
  <r>
    <n v="1318"/>
    <x v="1"/>
    <x v="1"/>
    <d v="2024-06-23T00:00:00"/>
    <s v="Sunday"/>
    <x v="9"/>
    <n v="273"/>
    <n v="20"/>
    <n v="2621"/>
    <n v="125"/>
    <n v="85"/>
    <n v="419"/>
    <n v="1.2399847386493701"/>
    <s v="low"/>
    <n v="0"/>
  </r>
  <r>
    <n v="1319"/>
    <x v="0"/>
    <x v="2"/>
    <d v="2024-04-11T00:00:00"/>
    <s v="Thursday"/>
    <x v="15"/>
    <n v="260"/>
    <n v="3"/>
    <n v="1523"/>
    <n v="469"/>
    <n v="17"/>
    <n v="171"/>
    <n v="1.43138542350623"/>
    <s v="low"/>
    <n v="0"/>
  </r>
  <r>
    <n v="1320"/>
    <x v="0"/>
    <x v="0"/>
    <d v="2024-03-05T00:00:00"/>
    <s v="Tuesday"/>
    <x v="12"/>
    <n v="291"/>
    <n v="12"/>
    <n v="329"/>
    <n v="446"/>
    <n v="26"/>
    <n v="171"/>
    <n v="2.9544072948328202"/>
    <s v="high"/>
    <n v="0"/>
  </r>
  <r>
    <n v="1321"/>
    <x v="0"/>
    <x v="1"/>
    <d v="2024-08-04T00:00:00"/>
    <s v="Sunday"/>
    <x v="4"/>
    <n v="80"/>
    <n v="10"/>
    <n v="2952"/>
    <n v="135"/>
    <n v="413"/>
    <n v="571"/>
    <n v="1.3790650406503999"/>
    <s v="low"/>
    <n v="0"/>
  </r>
  <r>
    <n v="1322"/>
    <x v="0"/>
    <x v="1"/>
    <d v="2024-06-21T00:00:00"/>
    <s v="Friday"/>
    <x v="5"/>
    <n v="249"/>
    <n v="13"/>
    <n v="4895"/>
    <n v="628"/>
    <n v="112"/>
    <n v="47"/>
    <n v="1.16077630234933"/>
    <s v="low"/>
    <n v="0"/>
  </r>
  <r>
    <n v="1323"/>
    <x v="2"/>
    <x v="0"/>
    <d v="2024-08-18T00:00:00"/>
    <s v="Sunday"/>
    <x v="12"/>
    <n v="62"/>
    <n v="4"/>
    <n v="3619"/>
    <n v="301"/>
    <n v="490"/>
    <n v="138"/>
    <n v="1.25670074606244"/>
    <s v="low"/>
    <n v="0"/>
  </r>
  <r>
    <n v="1324"/>
    <x v="2"/>
    <x v="2"/>
    <d v="2024-01-04T00:00:00"/>
    <s v="Thursday"/>
    <x v="7"/>
    <n v="184"/>
    <n v="14"/>
    <n v="4912"/>
    <n v="612"/>
    <n v="380"/>
    <n v="691"/>
    <n v="1.3426302931595999"/>
    <s v="low"/>
    <n v="0"/>
  </r>
  <r>
    <n v="1325"/>
    <x v="0"/>
    <x v="2"/>
    <d v="2024-03-31T00:00:00"/>
    <s v="Sunday"/>
    <x v="11"/>
    <n v="194"/>
    <n v="1"/>
    <n v="4217"/>
    <n v="744"/>
    <n v="288"/>
    <n v="100"/>
    <n v="1.2684372776855499"/>
    <s v="low"/>
    <n v="0"/>
  </r>
  <r>
    <n v="1326"/>
    <x v="1"/>
    <x v="2"/>
    <d v="2024-10-15T00:00:00"/>
    <s v="Tuesday"/>
    <x v="6"/>
    <n v="216"/>
    <n v="10"/>
    <n v="4290"/>
    <n v="542"/>
    <n v="595"/>
    <n v="521"/>
    <n v="1.3864801864801799"/>
    <s v="low"/>
    <n v="0"/>
  </r>
  <r>
    <n v="1327"/>
    <x v="2"/>
    <x v="2"/>
    <d v="2024-04-01T00:00:00"/>
    <s v="Monday"/>
    <x v="6"/>
    <n v="70"/>
    <n v="11"/>
    <n v="1223"/>
    <n v="47"/>
    <n v="217"/>
    <n v="441"/>
    <n v="1.57645134914145"/>
    <s v="low"/>
    <n v="0"/>
  </r>
  <r>
    <n v="1328"/>
    <x v="1"/>
    <x v="2"/>
    <d v="2024-05-25T00:00:00"/>
    <s v="Saturday"/>
    <x v="16"/>
    <n v="106"/>
    <n v="9"/>
    <n v="1406"/>
    <n v="126"/>
    <n v="296"/>
    <n v="281"/>
    <n v="1.5"/>
    <s v="low"/>
    <n v="0"/>
  </r>
  <r>
    <n v="1329"/>
    <x v="0"/>
    <x v="0"/>
    <d v="2024-05-12T00:00:00"/>
    <s v="Sunday"/>
    <x v="13"/>
    <n v="280"/>
    <n v="5"/>
    <n v="919"/>
    <n v="242"/>
    <n v="287"/>
    <n v="145"/>
    <n v="1.73340587595212"/>
    <s v="average"/>
    <n v="0"/>
  </r>
  <r>
    <n v="1330"/>
    <x v="0"/>
    <x v="0"/>
    <d v="2024-01-15T00:00:00"/>
    <s v="Monday"/>
    <x v="11"/>
    <n v="33"/>
    <n v="11"/>
    <n v="4952"/>
    <n v="45"/>
    <n v="554"/>
    <n v="551"/>
    <n v="1.23222940226171"/>
    <s v="low"/>
    <n v="0"/>
  </r>
  <r>
    <n v="1331"/>
    <x v="2"/>
    <x v="0"/>
    <d v="2024-04-14T00:00:00"/>
    <s v="Sunday"/>
    <x v="17"/>
    <n v="171"/>
    <n v="3"/>
    <n v="2358"/>
    <n v="589"/>
    <n v="438"/>
    <n v="456"/>
    <n v="1.6289228159457101"/>
    <s v="average"/>
    <n v="0"/>
  </r>
  <r>
    <n v="1332"/>
    <x v="0"/>
    <x v="0"/>
    <d v="2024-03-02T00:00:00"/>
    <s v="Saturday"/>
    <x v="15"/>
    <n v="79"/>
    <n v="11"/>
    <n v="3690"/>
    <n v="447"/>
    <n v="507"/>
    <n v="270"/>
    <n v="1.3317073170731699"/>
    <s v="low"/>
    <n v="0"/>
  </r>
  <r>
    <n v="1333"/>
    <x v="0"/>
    <x v="1"/>
    <d v="2024-02-10T00:00:00"/>
    <s v="Saturday"/>
    <x v="6"/>
    <n v="161"/>
    <n v="14"/>
    <n v="1872"/>
    <n v="749"/>
    <n v="78"/>
    <n v="335"/>
    <n v="1.62072649572649"/>
    <s v="average"/>
    <n v="0"/>
  </r>
  <r>
    <n v="1334"/>
    <x v="1"/>
    <x v="0"/>
    <d v="2024-09-19T00:00:00"/>
    <s v="Thursday"/>
    <x v="12"/>
    <n v="182"/>
    <n v="6"/>
    <n v="656"/>
    <n v="728"/>
    <n v="324"/>
    <n v="40"/>
    <n v="2.6646341463414598"/>
    <s v="high"/>
    <n v="0"/>
  </r>
  <r>
    <n v="1335"/>
    <x v="0"/>
    <x v="1"/>
    <d v="2024-10-12T00:00:00"/>
    <s v="Saturday"/>
    <x v="7"/>
    <n v="132"/>
    <n v="6"/>
    <n v="341"/>
    <n v="654"/>
    <n v="10"/>
    <n v="252"/>
    <n v="3.6862170087976498"/>
    <s v="high"/>
    <n v="0"/>
  </r>
  <r>
    <n v="1336"/>
    <x v="2"/>
    <x v="2"/>
    <d v="2024-05-15T00:00:00"/>
    <s v="Wednesday"/>
    <x v="4"/>
    <n v="87"/>
    <n v="6"/>
    <n v="3901"/>
    <n v="160"/>
    <n v="498"/>
    <n v="192"/>
    <n v="1.21789284798769"/>
    <s v="low"/>
    <n v="0"/>
  </r>
  <r>
    <n v="1337"/>
    <x v="1"/>
    <x v="0"/>
    <d v="2024-02-15T00:00:00"/>
    <s v="Thursday"/>
    <x v="11"/>
    <n v="126"/>
    <n v="5"/>
    <n v="4279"/>
    <n v="745"/>
    <n v="221"/>
    <n v="4"/>
    <n v="1.22668847861649"/>
    <s v="low"/>
    <n v="0"/>
  </r>
  <r>
    <n v="1338"/>
    <x v="1"/>
    <x v="1"/>
    <d v="2024-01-20T00:00:00"/>
    <s v="Saturday"/>
    <x v="16"/>
    <n v="198"/>
    <n v="15"/>
    <n v="3475"/>
    <n v="709"/>
    <n v="271"/>
    <n v="629"/>
    <n v="1.46302158273381"/>
    <s v="low"/>
    <n v="0"/>
  </r>
  <r>
    <n v="1339"/>
    <x v="2"/>
    <x v="2"/>
    <d v="2024-09-28T00:00:00"/>
    <s v="Saturday"/>
    <x v="11"/>
    <n v="220"/>
    <n v="19"/>
    <n v="1525"/>
    <n v="312"/>
    <n v="239"/>
    <n v="300"/>
    <n v="1.5580327868852399"/>
    <s v="low"/>
    <n v="0"/>
  </r>
  <r>
    <n v="1340"/>
    <x v="0"/>
    <x v="0"/>
    <d v="2024-07-01T00:00:00"/>
    <s v="Monday"/>
    <x v="4"/>
    <n v="234"/>
    <n v="14"/>
    <n v="4501"/>
    <n v="497"/>
    <n v="304"/>
    <n v="99"/>
    <n v="1.1999555654298999"/>
    <s v="low"/>
    <n v="0"/>
  </r>
  <r>
    <n v="1341"/>
    <x v="0"/>
    <x v="2"/>
    <d v="2024-06-15T00:00:00"/>
    <s v="Saturday"/>
    <x v="6"/>
    <n v="78"/>
    <n v="11"/>
    <n v="2076"/>
    <n v="683"/>
    <n v="437"/>
    <n v="119"/>
    <n v="1.5968208092485501"/>
    <s v="low"/>
    <n v="0"/>
  </r>
  <r>
    <n v="1342"/>
    <x v="2"/>
    <x v="2"/>
    <d v="2024-07-22T00:00:00"/>
    <s v="Monday"/>
    <x v="16"/>
    <n v="34"/>
    <n v="9"/>
    <n v="1099"/>
    <n v="797"/>
    <n v="497"/>
    <n v="501"/>
    <n v="2.6333030027297499"/>
    <s v="high"/>
    <n v="0"/>
  </r>
  <r>
    <n v="1343"/>
    <x v="2"/>
    <x v="2"/>
    <d v="2024-05-17T00:00:00"/>
    <s v="Friday"/>
    <x v="15"/>
    <n v="182"/>
    <n v="13"/>
    <n v="4207"/>
    <n v="225"/>
    <n v="420"/>
    <n v="63"/>
    <n v="1.1682909436653099"/>
    <s v="low"/>
    <n v="0"/>
  </r>
  <r>
    <n v="1344"/>
    <x v="0"/>
    <x v="2"/>
    <d v="2024-07-19T00:00:00"/>
    <s v="Friday"/>
    <x v="11"/>
    <n v="132"/>
    <n v="10"/>
    <n v="3670"/>
    <n v="440"/>
    <n v="410"/>
    <n v="267"/>
    <n v="1.3043596730245199"/>
    <s v="low"/>
    <n v="0"/>
  </r>
  <r>
    <n v="1345"/>
    <x v="2"/>
    <x v="0"/>
    <d v="2024-01-24T00:00:00"/>
    <s v="Wednesday"/>
    <x v="13"/>
    <n v="125"/>
    <n v="20"/>
    <n v="2577"/>
    <n v="463"/>
    <n v="421"/>
    <n v="227"/>
    <n v="1.43112145906092"/>
    <s v="low"/>
    <n v="0"/>
  </r>
  <r>
    <n v="1346"/>
    <x v="2"/>
    <x v="0"/>
    <d v="2024-02-26T00:00:00"/>
    <s v="Monday"/>
    <x v="7"/>
    <n v="66"/>
    <n v="10"/>
    <n v="2750"/>
    <n v="137"/>
    <n v="554"/>
    <n v="21"/>
    <n v="1.2589090909090901"/>
    <s v="low"/>
    <n v="0"/>
  </r>
  <r>
    <n v="1347"/>
    <x v="0"/>
    <x v="2"/>
    <d v="2024-06-29T00:00:00"/>
    <s v="Saturday"/>
    <x v="13"/>
    <n v="121"/>
    <n v="5"/>
    <n v="4579"/>
    <n v="69"/>
    <n v="52"/>
    <n v="532"/>
    <n v="1.14260755623498"/>
    <s v="low"/>
    <n v="0"/>
  </r>
  <r>
    <n v="1348"/>
    <x v="0"/>
    <x v="2"/>
    <d v="2024-10-01T00:00:00"/>
    <s v="Tuesday"/>
    <x v="6"/>
    <n v="231"/>
    <n v="6"/>
    <n v="3290"/>
    <n v="740"/>
    <n v="236"/>
    <n v="298"/>
    <n v="1.3872340425531899"/>
    <s v="low"/>
    <n v="0"/>
  </r>
  <r>
    <n v="1349"/>
    <x v="2"/>
    <x v="0"/>
    <d v="2024-10-10T00:00:00"/>
    <s v="Thursday"/>
    <x v="12"/>
    <n v="223"/>
    <n v="15"/>
    <n v="2087"/>
    <n v="18"/>
    <n v="38"/>
    <n v="21"/>
    <n v="1.0368950646861499"/>
    <s v="low"/>
    <n v="0"/>
  </r>
  <r>
    <n v="1350"/>
    <x v="0"/>
    <x v="1"/>
    <d v="2024-01-22T00:00:00"/>
    <s v="Monday"/>
    <x v="16"/>
    <n v="37"/>
    <n v="8"/>
    <n v="1335"/>
    <n v="294"/>
    <n v="310"/>
    <n v="25"/>
    <n v="1.47116104868913"/>
    <s v="low"/>
    <n v="0"/>
  </r>
  <r>
    <n v="1351"/>
    <x v="2"/>
    <x v="2"/>
    <d v="2024-03-04T00:00:00"/>
    <s v="Monday"/>
    <x v="3"/>
    <n v="59"/>
    <n v="2"/>
    <n v="3145"/>
    <n v="676"/>
    <n v="412"/>
    <n v="135"/>
    <n v="1.38887122416534"/>
    <s v="low"/>
    <n v="0"/>
  </r>
  <r>
    <n v="1352"/>
    <x v="2"/>
    <x v="0"/>
    <d v="2024-09-15T00:00:00"/>
    <s v="Sunday"/>
    <x v="0"/>
    <n v="220"/>
    <n v="6"/>
    <n v="3452"/>
    <n v="25"/>
    <n v="17"/>
    <n v="555"/>
    <n v="1.1729432213209701"/>
    <s v="low"/>
    <n v="0"/>
  </r>
  <r>
    <n v="1353"/>
    <x v="1"/>
    <x v="2"/>
    <d v="2024-06-08T00:00:00"/>
    <s v="Saturday"/>
    <x v="17"/>
    <n v="123"/>
    <n v="3"/>
    <n v="2701"/>
    <n v="440"/>
    <n v="526"/>
    <n v="24"/>
    <n v="1.36653091447612"/>
    <s v="low"/>
    <n v="0"/>
  </r>
  <r>
    <n v="1354"/>
    <x v="1"/>
    <x v="0"/>
    <d v="2024-05-15T00:00:00"/>
    <s v="Wednesday"/>
    <x v="16"/>
    <n v="228"/>
    <n v="17"/>
    <n v="4770"/>
    <n v="487"/>
    <n v="387"/>
    <n v="299"/>
    <n v="1.24591194968553"/>
    <s v="low"/>
    <n v="0"/>
  </r>
  <r>
    <n v="1355"/>
    <x v="0"/>
    <x v="2"/>
    <d v="2024-05-22T00:00:00"/>
    <s v="Wednesday"/>
    <x v="1"/>
    <n v="274"/>
    <n v="12"/>
    <n v="4009"/>
    <n v="296"/>
    <n v="548"/>
    <n v="519"/>
    <n v="1.3399850336742301"/>
    <s v="low"/>
    <n v="0"/>
  </r>
  <r>
    <n v="1356"/>
    <x v="0"/>
    <x v="1"/>
    <d v="2024-07-09T00:00:00"/>
    <s v="Tuesday"/>
    <x v="1"/>
    <n v="223"/>
    <n v="7"/>
    <n v="4527"/>
    <n v="736"/>
    <n v="112"/>
    <n v="464"/>
    <n v="1.28981665562182"/>
    <s v="low"/>
    <n v="0"/>
  </r>
  <r>
    <n v="1357"/>
    <x v="2"/>
    <x v="2"/>
    <d v="2024-08-16T00:00:00"/>
    <s v="Friday"/>
    <x v="6"/>
    <n v="93"/>
    <n v="20"/>
    <n v="3079"/>
    <n v="493"/>
    <n v="578"/>
    <n v="112"/>
    <n v="1.38421565443325"/>
    <s v="low"/>
    <n v="0"/>
  </r>
  <r>
    <n v="1358"/>
    <x v="1"/>
    <x v="1"/>
    <d v="2024-02-12T00:00:00"/>
    <s v="Monday"/>
    <x v="16"/>
    <n v="62"/>
    <n v="4"/>
    <n v="831"/>
    <n v="579"/>
    <n v="175"/>
    <n v="213"/>
    <n v="2.1636582430806199"/>
    <s v="average"/>
    <n v="0"/>
  </r>
  <r>
    <n v="1359"/>
    <x v="0"/>
    <x v="2"/>
    <d v="2024-07-25T00:00:00"/>
    <s v="Thursday"/>
    <x v="15"/>
    <n v="230"/>
    <n v="9"/>
    <n v="3929"/>
    <n v="540"/>
    <n v="582"/>
    <n v="239"/>
    <n v="1.3463985747009399"/>
    <s v="low"/>
    <n v="0"/>
  </r>
  <r>
    <n v="1360"/>
    <x v="2"/>
    <x v="2"/>
    <d v="2024-06-21T00:00:00"/>
    <s v="Friday"/>
    <x v="1"/>
    <n v="157"/>
    <n v="6"/>
    <n v="1283"/>
    <n v="42"/>
    <n v="331"/>
    <n v="579"/>
    <n v="1.7420109119251701"/>
    <s v="average"/>
    <n v="0"/>
  </r>
  <r>
    <n v="1361"/>
    <x v="2"/>
    <x v="0"/>
    <d v="2024-10-14T00:00:00"/>
    <s v="Monday"/>
    <x v="6"/>
    <n v="256"/>
    <n v="15"/>
    <n v="4053"/>
    <n v="563"/>
    <n v="513"/>
    <n v="321"/>
    <n v="1.34468295090056"/>
    <s v="low"/>
    <n v="0"/>
  </r>
  <r>
    <n v="1362"/>
    <x v="1"/>
    <x v="1"/>
    <d v="2024-09-20T00:00:00"/>
    <s v="Friday"/>
    <x v="3"/>
    <n v="212"/>
    <n v="4"/>
    <n v="4594"/>
    <n v="762"/>
    <n v="85"/>
    <n v="108"/>
    <n v="1.20787984327383"/>
    <s v="low"/>
    <n v="0"/>
  </r>
  <r>
    <n v="1363"/>
    <x v="0"/>
    <x v="2"/>
    <d v="2024-01-07T00:00:00"/>
    <s v="Sunday"/>
    <x v="0"/>
    <n v="39"/>
    <n v="13"/>
    <n v="1377"/>
    <n v="537"/>
    <n v="126"/>
    <n v="171"/>
    <n v="1.60566448801742"/>
    <s v="low"/>
    <n v="0"/>
  </r>
  <r>
    <n v="1364"/>
    <x v="0"/>
    <x v="1"/>
    <d v="2024-09-10T00:00:00"/>
    <s v="Tuesday"/>
    <x v="13"/>
    <n v="234"/>
    <n v="12"/>
    <n v="1448"/>
    <n v="646"/>
    <n v="539"/>
    <n v="499"/>
    <n v="2.1629834254143598"/>
    <s v="average"/>
    <n v="0"/>
  </r>
  <r>
    <n v="1365"/>
    <x v="2"/>
    <x v="1"/>
    <d v="2024-01-05T00:00:00"/>
    <s v="Friday"/>
    <x v="15"/>
    <n v="287"/>
    <n v="10"/>
    <n v="2480"/>
    <n v="125"/>
    <n v="447"/>
    <n v="302"/>
    <n v="1.3524193548387"/>
    <s v="low"/>
    <n v="0"/>
  </r>
  <r>
    <n v="1366"/>
    <x v="1"/>
    <x v="1"/>
    <d v="2024-07-09T00:00:00"/>
    <s v="Tuesday"/>
    <x v="10"/>
    <n v="210"/>
    <n v="16"/>
    <n v="4668"/>
    <n v="670"/>
    <n v="171"/>
    <n v="145"/>
    <n v="1.2112253641816599"/>
    <s v="low"/>
    <n v="0"/>
  </r>
  <r>
    <n v="1367"/>
    <x v="2"/>
    <x v="1"/>
    <d v="2024-05-08T00:00:00"/>
    <s v="Wednesday"/>
    <x v="9"/>
    <n v="104"/>
    <n v="16"/>
    <n v="3917"/>
    <n v="478"/>
    <n v="217"/>
    <n v="339"/>
    <n v="1.2639775338268999"/>
    <s v="low"/>
    <n v="0"/>
  </r>
  <r>
    <n v="1368"/>
    <x v="0"/>
    <x v="2"/>
    <d v="2024-08-30T00:00:00"/>
    <s v="Friday"/>
    <x v="3"/>
    <n v="22"/>
    <n v="9"/>
    <n v="130"/>
    <n v="330"/>
    <n v="428"/>
    <n v="184"/>
    <n v="8.24615384615384"/>
    <s v="high"/>
    <n v="0"/>
  </r>
  <r>
    <n v="1369"/>
    <x v="1"/>
    <x v="2"/>
    <d v="2024-04-06T00:00:00"/>
    <s v="Saturday"/>
    <x v="0"/>
    <n v="51"/>
    <n v="19"/>
    <n v="1682"/>
    <n v="715"/>
    <n v="98"/>
    <n v="551"/>
    <n v="1.8109393579072499"/>
    <s v="average"/>
    <n v="0"/>
  </r>
  <r>
    <n v="1370"/>
    <x v="2"/>
    <x v="1"/>
    <d v="2024-08-27T00:00:00"/>
    <s v="Tuesday"/>
    <x v="16"/>
    <n v="196"/>
    <n v="20"/>
    <n v="4919"/>
    <n v="165"/>
    <n v="70"/>
    <n v="359"/>
    <n v="1.12075625127058"/>
    <s v="low"/>
    <n v="0"/>
  </r>
  <r>
    <n v="1371"/>
    <x v="2"/>
    <x v="1"/>
    <d v="2024-01-08T00:00:00"/>
    <s v="Monday"/>
    <x v="4"/>
    <n v="208"/>
    <n v="19"/>
    <n v="1628"/>
    <n v="286"/>
    <n v="293"/>
    <n v="437"/>
    <n v="1.62407862407862"/>
    <s v="average"/>
    <n v="0"/>
  </r>
  <r>
    <n v="1372"/>
    <x v="2"/>
    <x v="0"/>
    <d v="2024-07-25T00:00:00"/>
    <s v="Thursday"/>
    <x v="3"/>
    <n v="98"/>
    <n v="3"/>
    <n v="2136"/>
    <n v="579"/>
    <n v="556"/>
    <n v="657"/>
    <n v="1.8389513108614199"/>
    <s v="average"/>
    <n v="0"/>
  </r>
  <r>
    <n v="1373"/>
    <x v="0"/>
    <x v="0"/>
    <d v="2024-04-20T00:00:00"/>
    <s v="Saturday"/>
    <x v="12"/>
    <n v="216"/>
    <n v="10"/>
    <n v="2343"/>
    <n v="187"/>
    <n v="271"/>
    <n v="578"/>
    <n v="1.4421681604780101"/>
    <s v="low"/>
    <n v="0"/>
  </r>
  <r>
    <n v="1374"/>
    <x v="2"/>
    <x v="2"/>
    <d v="2024-10-21T00:00:00"/>
    <s v="Monday"/>
    <x v="10"/>
    <n v="106"/>
    <n v="0"/>
    <n v="4901"/>
    <n v="624"/>
    <n v="285"/>
    <n v="631"/>
    <n v="1.31422158743113"/>
    <s v="low"/>
    <n v="0"/>
  </r>
  <r>
    <n v="1375"/>
    <x v="0"/>
    <x v="2"/>
    <d v="2024-04-28T00:00:00"/>
    <s v="Sunday"/>
    <x v="1"/>
    <n v="185"/>
    <n v="2"/>
    <n v="1823"/>
    <n v="98"/>
    <n v="152"/>
    <n v="147"/>
    <n v="1.2177729018101999"/>
    <s v="low"/>
    <n v="0"/>
  </r>
  <r>
    <n v="1376"/>
    <x v="2"/>
    <x v="2"/>
    <d v="2024-01-27T00:00:00"/>
    <s v="Saturday"/>
    <x v="6"/>
    <n v="174"/>
    <n v="16"/>
    <n v="1172"/>
    <n v="528"/>
    <n v="452"/>
    <n v="436"/>
    <n v="2.2081911262798601"/>
    <s v="average"/>
    <n v="0"/>
  </r>
  <r>
    <n v="1377"/>
    <x v="1"/>
    <x v="1"/>
    <d v="2024-03-01T00:00:00"/>
    <s v="Friday"/>
    <x v="11"/>
    <n v="201"/>
    <n v="9"/>
    <n v="2022"/>
    <n v="578"/>
    <n v="404"/>
    <n v="387"/>
    <n v="1.67705242334322"/>
    <s v="average"/>
    <n v="0"/>
  </r>
  <r>
    <n v="1378"/>
    <x v="0"/>
    <x v="0"/>
    <d v="2024-09-24T00:00:00"/>
    <s v="Tuesday"/>
    <x v="15"/>
    <n v="93"/>
    <n v="13"/>
    <n v="2646"/>
    <n v="548"/>
    <n v="82"/>
    <n v="620"/>
    <n v="1.4724111866969001"/>
    <s v="low"/>
    <n v="0"/>
  </r>
  <r>
    <n v="1379"/>
    <x v="2"/>
    <x v="2"/>
    <d v="2024-10-13T00:00:00"/>
    <s v="Sunday"/>
    <x v="5"/>
    <n v="111"/>
    <n v="0"/>
    <n v="3667"/>
    <n v="506"/>
    <n v="258"/>
    <n v="124"/>
    <n v="1.2421598036542101"/>
    <s v="low"/>
    <n v="0"/>
  </r>
  <r>
    <n v="1380"/>
    <x v="0"/>
    <x v="1"/>
    <d v="2024-07-06T00:00:00"/>
    <s v="Saturday"/>
    <x v="13"/>
    <n v="117"/>
    <n v="12"/>
    <n v="3868"/>
    <n v="794"/>
    <n v="356"/>
    <n v="435"/>
    <n v="1.40977249224405"/>
    <s v="low"/>
    <n v="0"/>
  </r>
  <r>
    <n v="1381"/>
    <x v="1"/>
    <x v="2"/>
    <d v="2024-07-10T00:00:00"/>
    <s v="Wednesday"/>
    <x v="12"/>
    <n v="119"/>
    <n v="0"/>
    <n v="1516"/>
    <n v="770"/>
    <n v="12"/>
    <n v="201"/>
    <n v="1.64841688654353"/>
    <s v="average"/>
    <n v="0"/>
  </r>
  <r>
    <n v="1382"/>
    <x v="1"/>
    <x v="1"/>
    <d v="2024-10-27T00:00:00"/>
    <s v="Sunday"/>
    <x v="1"/>
    <n v="159"/>
    <n v="1"/>
    <n v="2592"/>
    <n v="341"/>
    <n v="98"/>
    <n v="378"/>
    <n v="1.3152006172839501"/>
    <s v="low"/>
    <n v="0"/>
  </r>
  <r>
    <n v="1383"/>
    <x v="1"/>
    <x v="1"/>
    <d v="2024-05-20T00:00:00"/>
    <s v="Monday"/>
    <x v="14"/>
    <n v="35"/>
    <n v="15"/>
    <n v="3971"/>
    <n v="412"/>
    <n v="46"/>
    <n v="260"/>
    <n v="1.1808108788718199"/>
    <s v="low"/>
    <n v="0"/>
  </r>
  <r>
    <n v="1384"/>
    <x v="2"/>
    <x v="0"/>
    <d v="2024-08-20T00:00:00"/>
    <s v="Tuesday"/>
    <x v="14"/>
    <n v="209"/>
    <n v="0"/>
    <n v="4066"/>
    <n v="182"/>
    <n v="486"/>
    <n v="664"/>
    <n v="1.3275946876537099"/>
    <s v="low"/>
    <n v="0"/>
  </r>
  <r>
    <n v="1385"/>
    <x v="0"/>
    <x v="0"/>
    <d v="2024-03-19T00:00:00"/>
    <s v="Tuesday"/>
    <x v="17"/>
    <n v="51"/>
    <n v="10"/>
    <n v="1499"/>
    <n v="139"/>
    <n v="86"/>
    <n v="430"/>
    <n v="1.4369579719813199"/>
    <s v="low"/>
    <n v="0"/>
  </r>
  <r>
    <n v="1386"/>
    <x v="2"/>
    <x v="1"/>
    <d v="2024-02-19T00:00:00"/>
    <s v="Monday"/>
    <x v="1"/>
    <n v="190"/>
    <n v="10"/>
    <n v="4507"/>
    <n v="289"/>
    <n v="200"/>
    <n v="671"/>
    <n v="1.25737741291324"/>
    <s v="low"/>
    <n v="0"/>
  </r>
  <r>
    <n v="1387"/>
    <x v="0"/>
    <x v="1"/>
    <d v="2024-03-27T00:00:00"/>
    <s v="Wednesday"/>
    <x v="7"/>
    <n v="233"/>
    <n v="1"/>
    <n v="4857"/>
    <n v="744"/>
    <n v="377"/>
    <n v="529"/>
    <n v="1.33971587399629"/>
    <s v="low"/>
    <n v="0"/>
  </r>
  <r>
    <n v="1388"/>
    <x v="2"/>
    <x v="2"/>
    <d v="2024-02-03T00:00:00"/>
    <s v="Saturday"/>
    <x v="3"/>
    <n v="108"/>
    <n v="14"/>
    <n v="1630"/>
    <n v="784"/>
    <n v="515"/>
    <n v="152"/>
    <n v="1.8901840490797499"/>
    <s v="average"/>
    <n v="0"/>
  </r>
  <r>
    <n v="1389"/>
    <x v="1"/>
    <x v="0"/>
    <d v="2024-01-23T00:00:00"/>
    <s v="Tuesday"/>
    <x v="1"/>
    <n v="179"/>
    <n v="8"/>
    <n v="2307"/>
    <n v="628"/>
    <n v="205"/>
    <n v="518"/>
    <n v="1.58560901603814"/>
    <s v="low"/>
    <n v="0"/>
  </r>
  <r>
    <n v="1390"/>
    <x v="2"/>
    <x v="1"/>
    <d v="2024-10-14T00:00:00"/>
    <s v="Monday"/>
    <x v="3"/>
    <n v="257"/>
    <n v="2"/>
    <n v="2922"/>
    <n v="125"/>
    <n v="351"/>
    <n v="478"/>
    <n v="1.3264887063655"/>
    <s v="low"/>
    <n v="0"/>
  </r>
  <r>
    <n v="1391"/>
    <x v="1"/>
    <x v="1"/>
    <d v="2024-02-29T00:00:00"/>
    <s v="Thursday"/>
    <x v="1"/>
    <n v="106"/>
    <n v="0"/>
    <n v="791"/>
    <n v="191"/>
    <n v="90"/>
    <n v="191"/>
    <n v="1.59671302149178"/>
    <s v="low"/>
    <n v="0"/>
  </r>
  <r>
    <n v="1392"/>
    <x v="1"/>
    <x v="1"/>
    <d v="2024-04-21T00:00:00"/>
    <s v="Sunday"/>
    <x v="10"/>
    <n v="87"/>
    <n v="9"/>
    <n v="3118"/>
    <n v="476"/>
    <n v="85"/>
    <n v="253"/>
    <n v="1.26106478511866"/>
    <s v="low"/>
    <n v="0"/>
  </r>
  <r>
    <n v="1393"/>
    <x v="1"/>
    <x v="0"/>
    <d v="2024-01-28T00:00:00"/>
    <s v="Sunday"/>
    <x v="6"/>
    <n v="231"/>
    <n v="7"/>
    <n v="3157"/>
    <n v="727"/>
    <n v="295"/>
    <n v="183"/>
    <n v="1.38169147925245"/>
    <s v="low"/>
    <n v="0"/>
  </r>
  <r>
    <n v="1394"/>
    <x v="1"/>
    <x v="1"/>
    <d v="2024-04-06T00:00:00"/>
    <s v="Saturday"/>
    <x v="17"/>
    <n v="155"/>
    <n v="2"/>
    <n v="2284"/>
    <n v="209"/>
    <n v="183"/>
    <n v="303"/>
    <n v="1.3042907180385199"/>
    <s v="low"/>
    <n v="0"/>
  </r>
  <r>
    <n v="1395"/>
    <x v="2"/>
    <x v="1"/>
    <d v="2024-09-07T00:00:00"/>
    <s v="Saturday"/>
    <x v="17"/>
    <n v="107"/>
    <n v="1"/>
    <n v="2959"/>
    <n v="597"/>
    <n v="374"/>
    <n v="358"/>
    <n v="1.4491382223724201"/>
    <s v="low"/>
    <n v="0"/>
  </r>
  <r>
    <n v="1396"/>
    <x v="0"/>
    <x v="1"/>
    <d v="2024-10-26T00:00:00"/>
    <s v="Saturday"/>
    <x v="8"/>
    <n v="197"/>
    <n v="20"/>
    <n v="3209"/>
    <n v="164"/>
    <n v="552"/>
    <n v="583"/>
    <n v="1.40479900280461"/>
    <s v="low"/>
    <n v="0"/>
  </r>
  <r>
    <n v="1397"/>
    <x v="2"/>
    <x v="2"/>
    <d v="2024-05-27T00:00:00"/>
    <s v="Monday"/>
    <x v="3"/>
    <n v="282"/>
    <n v="6"/>
    <n v="1749"/>
    <n v="355"/>
    <n v="517"/>
    <n v="565"/>
    <n v="1.82161234991423"/>
    <s v="average"/>
    <n v="0"/>
  </r>
  <r>
    <n v="1398"/>
    <x v="0"/>
    <x v="1"/>
    <d v="2024-05-12T00:00:00"/>
    <s v="Sunday"/>
    <x v="2"/>
    <n v="263"/>
    <n v="4"/>
    <n v="1837"/>
    <n v="483"/>
    <n v="269"/>
    <n v="33"/>
    <n v="1.4273271638541101"/>
    <s v="low"/>
    <n v="0"/>
  </r>
  <r>
    <n v="1399"/>
    <x v="1"/>
    <x v="1"/>
    <d v="2024-08-27T00:00:00"/>
    <s v="Tuesday"/>
    <x v="14"/>
    <n v="185"/>
    <n v="3"/>
    <n v="4857"/>
    <n v="335"/>
    <n v="383"/>
    <n v="578"/>
    <n v="1.2668313773934501"/>
    <s v="low"/>
    <n v="0"/>
  </r>
  <r>
    <n v="1400"/>
    <x v="1"/>
    <x v="2"/>
    <d v="2024-07-02T00:00:00"/>
    <s v="Tuesday"/>
    <x v="0"/>
    <n v="115"/>
    <n v="11"/>
    <n v="114"/>
    <n v="167"/>
    <n v="433"/>
    <n v="487"/>
    <n v="10.5350877192982"/>
    <s v="high"/>
    <n v="0"/>
  </r>
  <r>
    <n v="1401"/>
    <x v="0"/>
    <x v="2"/>
    <d v="2024-06-05T00:00:00"/>
    <s v="Wednesday"/>
    <x v="17"/>
    <n v="242"/>
    <n v="12"/>
    <n v="1383"/>
    <n v="483"/>
    <n v="561"/>
    <n v="191"/>
    <n v="1.8929862617498101"/>
    <s v="average"/>
    <n v="0"/>
  </r>
  <r>
    <n v="1402"/>
    <x v="1"/>
    <x v="2"/>
    <d v="2024-08-30T00:00:00"/>
    <s v="Friday"/>
    <x v="7"/>
    <n v="173"/>
    <n v="1"/>
    <n v="2045"/>
    <n v="263"/>
    <n v="384"/>
    <n v="616"/>
    <n v="1.61760391198044"/>
    <s v="average"/>
    <n v="0"/>
  </r>
  <r>
    <n v="1403"/>
    <x v="1"/>
    <x v="1"/>
    <d v="2024-04-29T00:00:00"/>
    <s v="Monday"/>
    <x v="7"/>
    <n v="34"/>
    <n v="5"/>
    <n v="4203"/>
    <n v="115"/>
    <n v="433"/>
    <n v="437"/>
    <n v="1.2343564120866"/>
    <s v="low"/>
    <n v="0"/>
  </r>
  <r>
    <n v="1404"/>
    <x v="2"/>
    <x v="0"/>
    <d v="2024-09-19T00:00:00"/>
    <s v="Thursday"/>
    <x v="9"/>
    <n v="190"/>
    <n v="1"/>
    <n v="1413"/>
    <n v="312"/>
    <n v="538"/>
    <n v="204"/>
    <n v="1.7459306440198099"/>
    <s v="average"/>
    <n v="0"/>
  </r>
  <r>
    <n v="1405"/>
    <x v="1"/>
    <x v="2"/>
    <d v="2024-02-16T00:00:00"/>
    <s v="Friday"/>
    <x v="2"/>
    <n v="255"/>
    <n v="0"/>
    <n v="2583"/>
    <n v="789"/>
    <n v="146"/>
    <n v="355"/>
    <n v="1.49941927990708"/>
    <s v="low"/>
    <n v="0"/>
  </r>
  <r>
    <n v="1406"/>
    <x v="0"/>
    <x v="0"/>
    <d v="2024-03-16T00:00:00"/>
    <s v="Saturday"/>
    <x v="16"/>
    <n v="124"/>
    <n v="13"/>
    <n v="1691"/>
    <n v="181"/>
    <n v="310"/>
    <n v="315"/>
    <n v="1.4766410408042501"/>
    <s v="low"/>
    <n v="0"/>
  </r>
  <r>
    <n v="1407"/>
    <x v="0"/>
    <x v="2"/>
    <d v="2024-02-16T00:00:00"/>
    <s v="Friday"/>
    <x v="2"/>
    <n v="196"/>
    <n v="3"/>
    <n v="2054"/>
    <n v="162"/>
    <n v="570"/>
    <n v="384"/>
    <n v="1.54333008763388"/>
    <s v="low"/>
    <n v="0"/>
  </r>
  <r>
    <n v="1408"/>
    <x v="1"/>
    <x v="1"/>
    <d v="2024-08-29T00:00:00"/>
    <s v="Thursday"/>
    <x v="7"/>
    <n v="257"/>
    <n v="7"/>
    <n v="4554"/>
    <n v="708"/>
    <n v="405"/>
    <n v="218"/>
    <n v="1.2922705314009599"/>
    <s v="low"/>
    <n v="0"/>
  </r>
  <r>
    <n v="1409"/>
    <x v="1"/>
    <x v="2"/>
    <d v="2024-02-19T00:00:00"/>
    <s v="Monday"/>
    <x v="4"/>
    <n v="237"/>
    <n v="19"/>
    <n v="3225"/>
    <n v="136"/>
    <n v="327"/>
    <n v="137"/>
    <n v="1.1860465116279"/>
    <s v="low"/>
    <n v="0"/>
  </r>
  <r>
    <n v="1410"/>
    <x v="2"/>
    <x v="1"/>
    <d v="2024-07-20T00:00:00"/>
    <s v="Saturday"/>
    <x v="1"/>
    <n v="133"/>
    <n v="19"/>
    <n v="4425"/>
    <n v="78"/>
    <n v="357"/>
    <n v="501"/>
    <n v="1.21152542372881"/>
    <s v="low"/>
    <n v="0"/>
  </r>
  <r>
    <n v="1411"/>
    <x v="2"/>
    <x v="0"/>
    <d v="2024-04-01T00:00:00"/>
    <s v="Monday"/>
    <x v="7"/>
    <n v="59"/>
    <n v="20"/>
    <n v="1976"/>
    <n v="382"/>
    <n v="372"/>
    <n v="349"/>
    <n v="1.5581983805668"/>
    <s v="low"/>
    <n v="0"/>
  </r>
  <r>
    <n v="1412"/>
    <x v="0"/>
    <x v="2"/>
    <d v="2024-04-27T00:00:00"/>
    <s v="Saturday"/>
    <x v="8"/>
    <n v="67"/>
    <n v="10"/>
    <n v="1181"/>
    <n v="516"/>
    <n v="194"/>
    <n v="46"/>
    <n v="1.6401354784081199"/>
    <s v="average"/>
    <n v="0"/>
  </r>
  <r>
    <n v="1413"/>
    <x v="1"/>
    <x v="2"/>
    <d v="2024-07-15T00:00:00"/>
    <s v="Monday"/>
    <x v="11"/>
    <n v="37"/>
    <n v="8"/>
    <n v="1523"/>
    <n v="440"/>
    <n v="156"/>
    <n v="292"/>
    <n v="1.58305975049244"/>
    <s v="low"/>
    <n v="0"/>
  </r>
  <r>
    <n v="1414"/>
    <x v="2"/>
    <x v="0"/>
    <d v="2024-08-03T00:00:00"/>
    <s v="Saturday"/>
    <x v="17"/>
    <n v="62"/>
    <n v="11"/>
    <n v="1520"/>
    <n v="172"/>
    <n v="409"/>
    <n v="699"/>
    <n v="1.84210526315789"/>
    <s v="average"/>
    <n v="0"/>
  </r>
  <r>
    <n v="1415"/>
    <x v="0"/>
    <x v="1"/>
    <d v="2024-02-21T00:00:00"/>
    <s v="Wednesday"/>
    <x v="12"/>
    <n v="216"/>
    <n v="14"/>
    <n v="3363"/>
    <n v="17"/>
    <n v="166"/>
    <n v="327"/>
    <n v="1.15165031222123"/>
    <s v="low"/>
    <n v="0"/>
  </r>
  <r>
    <n v="1416"/>
    <x v="0"/>
    <x v="2"/>
    <d v="2024-01-06T00:00:00"/>
    <s v="Saturday"/>
    <x v="8"/>
    <n v="152"/>
    <n v="20"/>
    <n v="4032"/>
    <n v="674"/>
    <n v="413"/>
    <n v="433"/>
    <n v="1.3769841269841201"/>
    <s v="low"/>
    <n v="0"/>
  </r>
  <r>
    <n v="1417"/>
    <x v="1"/>
    <x v="1"/>
    <d v="2024-02-29T00:00:00"/>
    <s v="Thursday"/>
    <x v="6"/>
    <n v="293"/>
    <n v="11"/>
    <n v="4994"/>
    <n v="466"/>
    <n v="516"/>
    <n v="382"/>
    <n v="1.27312775330396"/>
    <s v="low"/>
    <n v="0"/>
  </r>
  <r>
    <n v="1418"/>
    <x v="2"/>
    <x v="0"/>
    <d v="2024-02-27T00:00:00"/>
    <s v="Tuesday"/>
    <x v="9"/>
    <n v="23"/>
    <n v="10"/>
    <n v="1515"/>
    <n v="439"/>
    <n v="546"/>
    <n v="393"/>
    <n v="1.9095709570957"/>
    <s v="average"/>
    <n v="0"/>
  </r>
  <r>
    <n v="1419"/>
    <x v="0"/>
    <x v="2"/>
    <d v="2024-05-12T00:00:00"/>
    <s v="Sunday"/>
    <x v="4"/>
    <n v="40"/>
    <n v="3"/>
    <n v="1668"/>
    <n v="532"/>
    <n v="467"/>
    <n v="446"/>
    <n v="1.8663069544364499"/>
    <s v="average"/>
    <n v="0"/>
  </r>
  <r>
    <n v="1420"/>
    <x v="2"/>
    <x v="2"/>
    <d v="2024-09-07T00:00:00"/>
    <s v="Saturday"/>
    <x v="15"/>
    <n v="237"/>
    <n v="10"/>
    <n v="3820"/>
    <n v="380"/>
    <n v="53"/>
    <n v="614"/>
    <n v="1.2740837696334999"/>
    <s v="low"/>
    <n v="0"/>
  </r>
  <r>
    <n v="1421"/>
    <x v="1"/>
    <x v="2"/>
    <d v="2024-05-31T00:00:00"/>
    <s v="Friday"/>
    <x v="8"/>
    <n v="28"/>
    <n v="14"/>
    <n v="242"/>
    <n v="560"/>
    <n v="275"/>
    <n v="184"/>
    <n v="5.2107438016528898"/>
    <s v="high"/>
    <n v="0"/>
  </r>
  <r>
    <n v="1422"/>
    <x v="0"/>
    <x v="2"/>
    <d v="2024-06-15T00:00:00"/>
    <s v="Saturday"/>
    <x v="14"/>
    <n v="292"/>
    <n v="12"/>
    <n v="2488"/>
    <n v="656"/>
    <n v="38"/>
    <n v="611"/>
    <n v="1.52451768488745"/>
    <s v="low"/>
    <n v="0"/>
  </r>
  <r>
    <n v="1423"/>
    <x v="0"/>
    <x v="1"/>
    <d v="2024-05-07T00:00:00"/>
    <s v="Tuesday"/>
    <x v="9"/>
    <n v="272"/>
    <n v="13"/>
    <n v="1485"/>
    <n v="91"/>
    <n v="549"/>
    <n v="97"/>
    <n v="1.49629629629629"/>
    <s v="low"/>
    <n v="0"/>
  </r>
  <r>
    <n v="1424"/>
    <x v="2"/>
    <x v="2"/>
    <d v="2024-05-20T00:00:00"/>
    <s v="Monday"/>
    <x v="14"/>
    <n v="59"/>
    <n v="10"/>
    <n v="2879"/>
    <n v="474"/>
    <n v="251"/>
    <n v="537"/>
    <n v="1.43834664814171"/>
    <s v="low"/>
    <n v="0"/>
  </r>
  <r>
    <n v="1425"/>
    <x v="2"/>
    <x v="1"/>
    <d v="2024-07-09T00:00:00"/>
    <s v="Tuesday"/>
    <x v="3"/>
    <n v="192"/>
    <n v="20"/>
    <n v="363"/>
    <n v="155"/>
    <n v="105"/>
    <n v="392"/>
    <n v="2.7961432506886998"/>
    <s v="high"/>
    <n v="0"/>
  </r>
  <r>
    <n v="1426"/>
    <x v="2"/>
    <x v="2"/>
    <d v="2024-06-03T00:00:00"/>
    <s v="Monday"/>
    <x v="3"/>
    <n v="241"/>
    <n v="3"/>
    <n v="3511"/>
    <n v="415"/>
    <n v="24"/>
    <n v="189"/>
    <n v="1.17886641982341"/>
    <s v="low"/>
    <n v="0"/>
  </r>
  <r>
    <n v="1427"/>
    <x v="2"/>
    <x v="1"/>
    <d v="2024-04-08T00:00:00"/>
    <s v="Monday"/>
    <x v="16"/>
    <n v="45"/>
    <n v="11"/>
    <n v="4726"/>
    <n v="272"/>
    <n v="312"/>
    <n v="631"/>
    <n v="1.25708844688954"/>
    <s v="low"/>
    <n v="0"/>
  </r>
  <r>
    <n v="1428"/>
    <x v="2"/>
    <x v="1"/>
    <d v="2024-10-20T00:00:00"/>
    <s v="Sunday"/>
    <x v="2"/>
    <n v="161"/>
    <n v="16"/>
    <n v="3924"/>
    <n v="225"/>
    <n v="449"/>
    <n v="282"/>
    <n v="1.2436289500509601"/>
    <s v="low"/>
    <n v="0"/>
  </r>
  <r>
    <n v="1429"/>
    <x v="0"/>
    <x v="2"/>
    <d v="2024-01-24T00:00:00"/>
    <s v="Wednesday"/>
    <x v="10"/>
    <n v="29"/>
    <n v="13"/>
    <n v="3315"/>
    <n v="190"/>
    <n v="293"/>
    <n v="280"/>
    <n v="1.23016591251885"/>
    <s v="low"/>
    <n v="0"/>
  </r>
  <r>
    <n v="1430"/>
    <x v="2"/>
    <x v="2"/>
    <d v="2024-03-07T00:00:00"/>
    <s v="Thursday"/>
    <x v="0"/>
    <n v="133"/>
    <n v="7"/>
    <n v="2300"/>
    <n v="278"/>
    <n v="475"/>
    <n v="614"/>
    <n v="1.5943478260869499"/>
    <s v="low"/>
    <n v="0"/>
  </r>
  <r>
    <n v="1431"/>
    <x v="1"/>
    <x v="1"/>
    <d v="2024-01-10T00:00:00"/>
    <s v="Wednesday"/>
    <x v="17"/>
    <n v="235"/>
    <n v="20"/>
    <n v="2709"/>
    <n v="231"/>
    <n v="67"/>
    <n v="627"/>
    <n v="1.3414544112218501"/>
    <s v="low"/>
    <n v="0"/>
  </r>
  <r>
    <n v="1432"/>
    <x v="0"/>
    <x v="2"/>
    <d v="2024-06-17T00:00:00"/>
    <s v="Monday"/>
    <x v="6"/>
    <n v="183"/>
    <n v="11"/>
    <n v="4485"/>
    <n v="403"/>
    <n v="489"/>
    <n v="572"/>
    <n v="1.32642140468227"/>
    <s v="low"/>
    <n v="0"/>
  </r>
  <r>
    <n v="1433"/>
    <x v="2"/>
    <x v="1"/>
    <d v="2024-08-15T00:00:00"/>
    <s v="Thursday"/>
    <x v="2"/>
    <n v="219"/>
    <n v="8"/>
    <n v="1293"/>
    <n v="478"/>
    <n v="512"/>
    <n v="216"/>
    <n v="1.9327146171693701"/>
    <s v="average"/>
    <n v="0"/>
  </r>
  <r>
    <n v="1434"/>
    <x v="2"/>
    <x v="2"/>
    <d v="2024-07-25T00:00:00"/>
    <s v="Thursday"/>
    <x v="13"/>
    <n v="196"/>
    <n v="2"/>
    <n v="314"/>
    <n v="681"/>
    <n v="587"/>
    <n v="81"/>
    <n v="5.2961783439490402"/>
    <s v="high"/>
    <n v="1"/>
  </r>
  <r>
    <n v="1435"/>
    <x v="1"/>
    <x v="2"/>
    <d v="2024-04-16T00:00:00"/>
    <s v="Tuesday"/>
    <x v="17"/>
    <n v="35"/>
    <n v="4"/>
    <n v="4388"/>
    <n v="383"/>
    <n v="313"/>
    <n v="299"/>
    <n v="1.2267547857793899"/>
    <s v="low"/>
    <n v="0"/>
  </r>
  <r>
    <n v="1436"/>
    <x v="1"/>
    <x v="2"/>
    <d v="2024-10-26T00:00:00"/>
    <s v="Saturday"/>
    <x v="1"/>
    <n v="165"/>
    <n v="17"/>
    <n v="1415"/>
    <n v="644"/>
    <n v="362"/>
    <n v="579"/>
    <n v="2.1201413427561802"/>
    <s v="average"/>
    <n v="0"/>
  </r>
  <r>
    <n v="1437"/>
    <x v="1"/>
    <x v="1"/>
    <d v="2024-09-08T00:00:00"/>
    <s v="Sunday"/>
    <x v="0"/>
    <n v="69"/>
    <n v="12"/>
    <n v="1972"/>
    <n v="389"/>
    <n v="552"/>
    <n v="135"/>
    <n v="1.54563894523326"/>
    <s v="low"/>
    <n v="0"/>
  </r>
  <r>
    <n v="1438"/>
    <x v="0"/>
    <x v="0"/>
    <d v="2024-04-21T00:00:00"/>
    <s v="Sunday"/>
    <x v="7"/>
    <n v="229"/>
    <n v="11"/>
    <n v="1781"/>
    <n v="118"/>
    <n v="586"/>
    <n v="297"/>
    <n v="1.5620437956204301"/>
    <s v="low"/>
    <n v="0"/>
  </r>
  <r>
    <n v="1439"/>
    <x v="1"/>
    <x v="1"/>
    <d v="2024-04-21T00:00:00"/>
    <s v="Sunday"/>
    <x v="0"/>
    <n v="182"/>
    <n v="16"/>
    <n v="3475"/>
    <n v="618"/>
    <n v="287"/>
    <n v="328"/>
    <n v="1.3548201438848899"/>
    <s v="low"/>
    <n v="0"/>
  </r>
  <r>
    <n v="1440"/>
    <x v="1"/>
    <x v="2"/>
    <d v="2024-10-01T00:00:00"/>
    <s v="Tuesday"/>
    <x v="4"/>
    <n v="250"/>
    <n v="5"/>
    <n v="4412"/>
    <n v="406"/>
    <n v="232"/>
    <n v="414"/>
    <n v="1.23844061650045"/>
    <s v="low"/>
    <n v="0"/>
  </r>
  <r>
    <n v="1441"/>
    <x v="1"/>
    <x v="2"/>
    <d v="2024-03-31T00:00:00"/>
    <s v="Sunday"/>
    <x v="2"/>
    <n v="70"/>
    <n v="12"/>
    <n v="3327"/>
    <n v="300"/>
    <n v="5"/>
    <n v="546"/>
    <n v="1.25578599338743"/>
    <s v="low"/>
    <n v="0"/>
  </r>
  <r>
    <n v="1442"/>
    <x v="2"/>
    <x v="0"/>
    <d v="2024-10-24T00:00:00"/>
    <s v="Thursday"/>
    <x v="16"/>
    <n v="90"/>
    <n v="19"/>
    <n v="3475"/>
    <n v="433"/>
    <n v="422"/>
    <n v="194"/>
    <n v="1.3018705035971201"/>
    <s v="low"/>
    <n v="0"/>
  </r>
  <r>
    <n v="1443"/>
    <x v="0"/>
    <x v="2"/>
    <d v="2024-09-14T00:00:00"/>
    <s v="Saturday"/>
    <x v="16"/>
    <n v="105"/>
    <n v="18"/>
    <n v="709"/>
    <n v="618"/>
    <n v="586"/>
    <n v="419"/>
    <n v="3.2891396332863101"/>
    <s v="high"/>
    <n v="1"/>
  </r>
  <r>
    <n v="1444"/>
    <x v="2"/>
    <x v="2"/>
    <d v="2024-08-29T00:00:00"/>
    <s v="Thursday"/>
    <x v="13"/>
    <n v="281"/>
    <n v="6"/>
    <n v="795"/>
    <n v="384"/>
    <n v="25"/>
    <n v="616"/>
    <n v="2.28930817610062"/>
    <s v="average"/>
    <n v="0"/>
  </r>
  <r>
    <n v="1445"/>
    <x v="1"/>
    <x v="1"/>
    <d v="2024-03-23T00:00:00"/>
    <s v="Saturday"/>
    <x v="10"/>
    <n v="185"/>
    <n v="4"/>
    <n v="3800"/>
    <n v="382"/>
    <n v="247"/>
    <n v="180"/>
    <n v="1.2128947368420999"/>
    <s v="low"/>
    <n v="0"/>
  </r>
  <r>
    <n v="1446"/>
    <x v="1"/>
    <x v="2"/>
    <d v="2024-05-30T00:00:00"/>
    <s v="Thursday"/>
    <x v="16"/>
    <n v="247"/>
    <n v="7"/>
    <n v="580"/>
    <n v="36"/>
    <n v="213"/>
    <n v="592"/>
    <n v="2.4500000000000002"/>
    <s v="high"/>
    <n v="0"/>
  </r>
  <r>
    <n v="1447"/>
    <x v="1"/>
    <x v="0"/>
    <d v="2024-03-31T00:00:00"/>
    <s v="Sunday"/>
    <x v="16"/>
    <n v="256"/>
    <n v="2"/>
    <n v="3829"/>
    <n v="517"/>
    <n v="115"/>
    <n v="619"/>
    <n v="1.3267171585270301"/>
    <s v="low"/>
    <n v="0"/>
  </r>
  <r>
    <n v="1448"/>
    <x v="1"/>
    <x v="2"/>
    <d v="2024-01-04T00:00:00"/>
    <s v="Thursday"/>
    <x v="3"/>
    <n v="233"/>
    <n v="8"/>
    <n v="314"/>
    <n v="703"/>
    <n v="418"/>
    <n v="533"/>
    <n v="6.2675159235668696"/>
    <s v="high"/>
    <n v="0"/>
  </r>
  <r>
    <n v="1449"/>
    <x v="1"/>
    <x v="2"/>
    <d v="2024-10-02T00:00:00"/>
    <s v="Wednesday"/>
    <x v="14"/>
    <n v="169"/>
    <n v="12"/>
    <n v="1041"/>
    <n v="737"/>
    <n v="548"/>
    <n v="25"/>
    <n v="2.25840537944284"/>
    <s v="average"/>
    <n v="1"/>
  </r>
  <r>
    <n v="1450"/>
    <x v="2"/>
    <x v="2"/>
    <d v="2024-01-21T00:00:00"/>
    <s v="Sunday"/>
    <x v="8"/>
    <n v="83"/>
    <n v="3"/>
    <n v="3026"/>
    <n v="414"/>
    <n v="525"/>
    <n v="645"/>
    <n v="1.5234633179114301"/>
    <s v="low"/>
    <n v="0"/>
  </r>
  <r>
    <n v="1451"/>
    <x v="2"/>
    <x v="0"/>
    <d v="2024-03-15T00:00:00"/>
    <s v="Friday"/>
    <x v="5"/>
    <n v="231"/>
    <n v="10"/>
    <n v="2200"/>
    <n v="781"/>
    <n v="595"/>
    <n v="115"/>
    <n v="1.6777272727272701"/>
    <s v="average"/>
    <n v="0"/>
  </r>
  <r>
    <n v="1452"/>
    <x v="0"/>
    <x v="2"/>
    <d v="2024-03-13T00:00:00"/>
    <s v="Wednesday"/>
    <x v="3"/>
    <n v="254"/>
    <n v="15"/>
    <n v="2041"/>
    <n v="499"/>
    <n v="217"/>
    <n v="271"/>
    <n v="1.4835864772170499"/>
    <s v="low"/>
    <n v="0"/>
  </r>
  <r>
    <n v="1453"/>
    <x v="1"/>
    <x v="2"/>
    <d v="2024-05-05T00:00:00"/>
    <s v="Sunday"/>
    <x v="15"/>
    <n v="160"/>
    <n v="19"/>
    <n v="2179"/>
    <n v="355"/>
    <n v="304"/>
    <n v="456"/>
    <n v="1.51170261587884"/>
    <s v="low"/>
    <n v="0"/>
  </r>
  <r>
    <n v="1454"/>
    <x v="0"/>
    <x v="0"/>
    <d v="2024-01-19T00:00:00"/>
    <s v="Friday"/>
    <x v="5"/>
    <n v="205"/>
    <n v="9"/>
    <n v="1197"/>
    <n v="156"/>
    <n v="536"/>
    <n v="296"/>
    <n v="1.82539682539682"/>
    <s v="average"/>
    <n v="0"/>
  </r>
  <r>
    <n v="1455"/>
    <x v="2"/>
    <x v="2"/>
    <d v="2024-06-06T00:00:00"/>
    <s v="Thursday"/>
    <x v="4"/>
    <n v="99"/>
    <n v="4"/>
    <n v="1346"/>
    <n v="586"/>
    <n v="314"/>
    <n v="487"/>
    <n v="2.0304606240713201"/>
    <s v="average"/>
    <n v="0"/>
  </r>
  <r>
    <n v="1456"/>
    <x v="0"/>
    <x v="0"/>
    <d v="2024-03-16T00:00:00"/>
    <s v="Saturday"/>
    <x v="10"/>
    <n v="175"/>
    <n v="4"/>
    <n v="2444"/>
    <n v="398"/>
    <n v="265"/>
    <n v="653"/>
    <n v="1.5384615384615301"/>
    <s v="low"/>
    <n v="0"/>
  </r>
  <r>
    <n v="1457"/>
    <x v="2"/>
    <x v="1"/>
    <d v="2024-10-26T00:00:00"/>
    <s v="Saturday"/>
    <x v="7"/>
    <n v="264"/>
    <n v="19"/>
    <n v="148"/>
    <n v="270"/>
    <n v="374"/>
    <n v="521"/>
    <n v="8.8716216216216193"/>
    <s v="high"/>
    <n v="0"/>
  </r>
  <r>
    <n v="1458"/>
    <x v="2"/>
    <x v="2"/>
    <d v="2024-03-28T00:00:00"/>
    <s v="Thursday"/>
    <x v="12"/>
    <n v="211"/>
    <n v="12"/>
    <n v="2869"/>
    <n v="664"/>
    <n v="161"/>
    <n v="602"/>
    <n v="1.49738584872777"/>
    <s v="low"/>
    <n v="0"/>
  </r>
  <r>
    <n v="1459"/>
    <x v="1"/>
    <x v="2"/>
    <d v="2024-09-05T00:00:00"/>
    <s v="Thursday"/>
    <x v="1"/>
    <n v="53"/>
    <n v="10"/>
    <n v="1435"/>
    <n v="542"/>
    <n v="495"/>
    <n v="180"/>
    <n v="1.84808362369338"/>
    <s v="average"/>
    <n v="0"/>
  </r>
  <r>
    <n v="1460"/>
    <x v="1"/>
    <x v="1"/>
    <d v="2024-04-25T00:00:00"/>
    <s v="Thursday"/>
    <x v="0"/>
    <n v="120"/>
    <n v="11"/>
    <n v="2583"/>
    <n v="216"/>
    <n v="231"/>
    <n v="154"/>
    <n v="1.2326751838946901"/>
    <s v="low"/>
    <n v="0"/>
  </r>
  <r>
    <n v="1461"/>
    <x v="0"/>
    <x v="1"/>
    <d v="2024-09-12T00:00:00"/>
    <s v="Thursday"/>
    <x v="10"/>
    <n v="206"/>
    <n v="1"/>
    <n v="3812"/>
    <n v="588"/>
    <n v="14"/>
    <n v="537"/>
    <n v="1.29879328436516"/>
    <s v="low"/>
    <n v="0"/>
  </r>
  <r>
    <n v="1462"/>
    <x v="1"/>
    <x v="1"/>
    <d v="2024-07-23T00:00:00"/>
    <s v="Tuesday"/>
    <x v="13"/>
    <n v="295"/>
    <n v="2"/>
    <n v="859"/>
    <n v="342"/>
    <n v="521"/>
    <n v="69"/>
    <n v="2.0849825378346898"/>
    <s v="average"/>
    <n v="0"/>
  </r>
  <r>
    <n v="1463"/>
    <x v="0"/>
    <x v="2"/>
    <d v="2024-01-29T00:00:00"/>
    <s v="Monday"/>
    <x v="2"/>
    <n v="145"/>
    <n v="7"/>
    <n v="3708"/>
    <n v="585"/>
    <n v="537"/>
    <n v="254"/>
    <n v="1.3710895361380799"/>
    <s v="low"/>
    <n v="0"/>
  </r>
  <r>
    <n v="1464"/>
    <x v="1"/>
    <x v="0"/>
    <d v="2024-08-21T00:00:00"/>
    <s v="Wednesday"/>
    <x v="10"/>
    <n v="52"/>
    <n v="4"/>
    <n v="1503"/>
    <n v="46"/>
    <n v="274"/>
    <n v="566"/>
    <n v="1.5894876912840901"/>
    <s v="low"/>
    <n v="0"/>
  </r>
  <r>
    <n v="1465"/>
    <x v="0"/>
    <x v="1"/>
    <d v="2024-09-24T00:00:00"/>
    <s v="Tuesday"/>
    <x v="11"/>
    <n v="257"/>
    <n v="3"/>
    <n v="2530"/>
    <n v="67"/>
    <n v="214"/>
    <n v="234"/>
    <n v="1.2035573122529599"/>
    <s v="low"/>
    <n v="0"/>
  </r>
  <r>
    <n v="1466"/>
    <x v="1"/>
    <x v="0"/>
    <d v="2024-10-01T00:00:00"/>
    <s v="Tuesday"/>
    <x v="17"/>
    <n v="62"/>
    <n v="15"/>
    <n v="468"/>
    <n v="331"/>
    <n v="76"/>
    <n v="202"/>
    <n v="2.3012820512820502"/>
    <s v="average"/>
    <n v="0"/>
  </r>
  <r>
    <n v="1467"/>
    <x v="1"/>
    <x v="2"/>
    <d v="2024-04-11T00:00:00"/>
    <s v="Thursday"/>
    <x v="1"/>
    <n v="240"/>
    <n v="3"/>
    <n v="868"/>
    <n v="560"/>
    <n v="222"/>
    <n v="613"/>
    <n v="2.6071428571428501"/>
    <s v="high"/>
    <n v="0"/>
  </r>
  <r>
    <n v="1468"/>
    <x v="1"/>
    <x v="2"/>
    <d v="2024-08-14T00:00:00"/>
    <s v="Wednesday"/>
    <x v="15"/>
    <n v="272"/>
    <n v="20"/>
    <n v="1645"/>
    <n v="608"/>
    <n v="469"/>
    <n v="1"/>
    <n v="1.65531914893617"/>
    <s v="average"/>
    <n v="0"/>
  </r>
  <r>
    <n v="1469"/>
    <x v="1"/>
    <x v="1"/>
    <d v="2024-03-31T00:00:00"/>
    <s v="Sunday"/>
    <x v="4"/>
    <n v="155"/>
    <n v="17"/>
    <n v="2742"/>
    <n v="524"/>
    <n v="496"/>
    <n v="527"/>
    <n v="1.56418672501823"/>
    <s v="low"/>
    <n v="0"/>
  </r>
  <r>
    <n v="1470"/>
    <x v="1"/>
    <x v="1"/>
    <d v="2024-05-07T00:00:00"/>
    <s v="Tuesday"/>
    <x v="17"/>
    <n v="77"/>
    <n v="5"/>
    <n v="2844"/>
    <n v="286"/>
    <n v="576"/>
    <n v="516"/>
    <n v="1.4845288326300901"/>
    <s v="low"/>
    <n v="0"/>
  </r>
  <r>
    <n v="1471"/>
    <x v="1"/>
    <x v="0"/>
    <d v="2024-09-06T00:00:00"/>
    <s v="Friday"/>
    <x v="2"/>
    <n v="53"/>
    <n v="13"/>
    <n v="103"/>
    <n v="331"/>
    <n v="523"/>
    <n v="482"/>
    <n v="13.970873786407701"/>
    <s v="high"/>
    <n v="0"/>
  </r>
  <r>
    <n v="1472"/>
    <x v="2"/>
    <x v="1"/>
    <d v="2024-06-04T00:00:00"/>
    <s v="Tuesday"/>
    <x v="2"/>
    <n v="119"/>
    <n v="3"/>
    <n v="824"/>
    <n v="458"/>
    <n v="352"/>
    <n v="654"/>
    <n v="2.7766990291262101"/>
    <s v="high"/>
    <n v="0"/>
  </r>
  <r>
    <n v="1473"/>
    <x v="1"/>
    <x v="1"/>
    <d v="2024-04-28T00:00:00"/>
    <s v="Sunday"/>
    <x v="11"/>
    <n v="72"/>
    <n v="9"/>
    <n v="1796"/>
    <n v="319"/>
    <n v="515"/>
    <n v="313"/>
    <n v="1.6386414253897501"/>
    <s v="average"/>
    <n v="0"/>
  </r>
  <r>
    <n v="1474"/>
    <x v="0"/>
    <x v="0"/>
    <d v="2024-04-17T00:00:00"/>
    <s v="Wednesday"/>
    <x v="7"/>
    <n v="107"/>
    <n v="5"/>
    <n v="4727"/>
    <n v="693"/>
    <n v="160"/>
    <n v="332"/>
    <n v="1.25068753966575"/>
    <s v="low"/>
    <n v="0"/>
  </r>
  <r>
    <n v="1475"/>
    <x v="2"/>
    <x v="2"/>
    <d v="2024-03-21T00:00:00"/>
    <s v="Thursday"/>
    <x v="15"/>
    <n v="137"/>
    <n v="8"/>
    <n v="2717"/>
    <n v="533"/>
    <n v="487"/>
    <n v="670"/>
    <n v="1.6220095693779899"/>
    <s v="average"/>
    <n v="0"/>
  </r>
  <r>
    <n v="1476"/>
    <x v="1"/>
    <x v="1"/>
    <d v="2024-08-29T00:00:00"/>
    <s v="Thursday"/>
    <x v="5"/>
    <n v="181"/>
    <n v="14"/>
    <n v="2537"/>
    <n v="384"/>
    <n v="150"/>
    <n v="314"/>
    <n v="1.33425305478912"/>
    <s v="low"/>
    <n v="0"/>
  </r>
  <r>
    <n v="1477"/>
    <x v="0"/>
    <x v="2"/>
    <d v="2024-06-06T00:00:00"/>
    <s v="Thursday"/>
    <x v="14"/>
    <n v="229"/>
    <n v="11"/>
    <n v="3534"/>
    <n v="581"/>
    <n v="404"/>
    <n v="428"/>
    <n v="1.39983022071307"/>
    <s v="low"/>
    <n v="0"/>
  </r>
  <r>
    <n v="1478"/>
    <x v="2"/>
    <x v="0"/>
    <d v="2024-03-12T00:00:00"/>
    <s v="Tuesday"/>
    <x v="10"/>
    <n v="151"/>
    <n v="9"/>
    <n v="3792"/>
    <n v="790"/>
    <n v="282"/>
    <n v="20"/>
    <n v="1.2879746835443"/>
    <s v="low"/>
    <n v="0"/>
  </r>
  <r>
    <n v="1479"/>
    <x v="1"/>
    <x v="1"/>
    <d v="2024-07-10T00:00:00"/>
    <s v="Wednesday"/>
    <x v="13"/>
    <n v="122"/>
    <n v="6"/>
    <n v="243"/>
    <n v="334"/>
    <n v="439"/>
    <n v="392"/>
    <n v="5.7942386831275696"/>
    <s v="high"/>
    <n v="0"/>
  </r>
  <r>
    <n v="1480"/>
    <x v="0"/>
    <x v="0"/>
    <d v="2024-09-14T00:00:00"/>
    <s v="Saturday"/>
    <x v="6"/>
    <n v="265"/>
    <n v="18"/>
    <n v="3655"/>
    <n v="285"/>
    <n v="111"/>
    <n v="77"/>
    <n v="1.1294117647058799"/>
    <s v="low"/>
    <n v="0"/>
  </r>
  <r>
    <n v="1481"/>
    <x v="0"/>
    <x v="2"/>
    <d v="2024-08-28T00:00:00"/>
    <s v="Wednesday"/>
    <x v="7"/>
    <n v="50"/>
    <n v="3"/>
    <n v="426"/>
    <n v="680"/>
    <n v="401"/>
    <n v="499"/>
    <n v="4.7089201877934199"/>
    <s v="high"/>
    <n v="0"/>
  </r>
  <r>
    <n v="1482"/>
    <x v="1"/>
    <x v="2"/>
    <d v="2024-01-29T00:00:00"/>
    <s v="Monday"/>
    <x v="0"/>
    <n v="261"/>
    <n v="4"/>
    <n v="2857"/>
    <n v="287"/>
    <n v="552"/>
    <n v="379"/>
    <n v="1.4263213160657999"/>
    <s v="low"/>
    <n v="0"/>
  </r>
  <r>
    <n v="1483"/>
    <x v="0"/>
    <x v="1"/>
    <d v="2024-02-07T00:00:00"/>
    <s v="Wednesday"/>
    <x v="4"/>
    <n v="122"/>
    <n v="17"/>
    <n v="2708"/>
    <n v="798"/>
    <n v="425"/>
    <n v="156"/>
    <n v="1.5092319054652801"/>
    <s v="low"/>
    <n v="0"/>
  </r>
  <r>
    <n v="1484"/>
    <x v="2"/>
    <x v="1"/>
    <d v="2024-02-15T00:00:00"/>
    <s v="Thursday"/>
    <x v="15"/>
    <n v="291"/>
    <n v="9"/>
    <n v="3640"/>
    <n v="256"/>
    <n v="337"/>
    <n v="587"/>
    <n v="1.3241758241758199"/>
    <s v="low"/>
    <n v="0"/>
  </r>
  <r>
    <n v="1485"/>
    <x v="1"/>
    <x v="2"/>
    <d v="2024-01-12T00:00:00"/>
    <s v="Friday"/>
    <x v="10"/>
    <n v="114"/>
    <n v="10"/>
    <n v="1200"/>
    <n v="795"/>
    <n v="71"/>
    <n v="322"/>
    <n v="1.99"/>
    <s v="average"/>
    <n v="0"/>
  </r>
  <r>
    <n v="1486"/>
    <x v="0"/>
    <x v="1"/>
    <d v="2024-08-27T00:00:00"/>
    <s v="Tuesday"/>
    <x v="15"/>
    <n v="150"/>
    <n v="19"/>
    <n v="1915"/>
    <n v="476"/>
    <n v="372"/>
    <n v="342"/>
    <n v="1.6214099216710101"/>
    <s v="average"/>
    <n v="0"/>
  </r>
  <r>
    <n v="1487"/>
    <x v="1"/>
    <x v="2"/>
    <d v="2024-01-12T00:00:00"/>
    <s v="Friday"/>
    <x v="14"/>
    <n v="290"/>
    <n v="1"/>
    <n v="1199"/>
    <n v="127"/>
    <n v="422"/>
    <n v="438"/>
    <n v="1.8231859883235999"/>
    <s v="average"/>
    <n v="0"/>
  </r>
  <r>
    <n v="1488"/>
    <x v="0"/>
    <x v="1"/>
    <d v="2024-09-19T00:00:00"/>
    <s v="Thursday"/>
    <x v="6"/>
    <n v="295"/>
    <n v="15"/>
    <n v="3109"/>
    <n v="21"/>
    <n v="581"/>
    <n v="448"/>
    <n v="1.33772917336764"/>
    <s v="low"/>
    <n v="0"/>
  </r>
  <r>
    <n v="1489"/>
    <x v="2"/>
    <x v="0"/>
    <d v="2024-05-24T00:00:00"/>
    <s v="Friday"/>
    <x v="13"/>
    <n v="77"/>
    <n v="17"/>
    <n v="4758"/>
    <n v="346"/>
    <n v="70"/>
    <n v="78"/>
    <n v="1.10382513661202"/>
    <s v="low"/>
    <n v="0"/>
  </r>
  <r>
    <n v="1490"/>
    <x v="2"/>
    <x v="1"/>
    <d v="2024-03-22T00:00:00"/>
    <s v="Friday"/>
    <x v="10"/>
    <n v="57"/>
    <n v="13"/>
    <n v="4256"/>
    <n v="94"/>
    <n v="589"/>
    <n v="480"/>
    <n v="1.27326127819548"/>
    <s v="low"/>
    <n v="0"/>
  </r>
  <r>
    <n v="1491"/>
    <x v="1"/>
    <x v="0"/>
    <d v="2024-05-21T00:00:00"/>
    <s v="Tuesday"/>
    <x v="2"/>
    <n v="193"/>
    <n v="14"/>
    <n v="3865"/>
    <n v="467"/>
    <n v="157"/>
    <n v="667"/>
    <n v="1.3340232858990899"/>
    <s v="low"/>
    <n v="0"/>
  </r>
  <r>
    <n v="1492"/>
    <x v="1"/>
    <x v="0"/>
    <d v="2024-09-27T00:00:00"/>
    <s v="Friday"/>
    <x v="7"/>
    <n v="29"/>
    <n v="0"/>
    <n v="3592"/>
    <n v="26"/>
    <n v="413"/>
    <n v="589"/>
    <n v="1.2861915367483201"/>
    <s v="low"/>
    <n v="0"/>
  </r>
  <r>
    <n v="1493"/>
    <x v="0"/>
    <x v="1"/>
    <d v="2024-04-25T00:00:00"/>
    <s v="Thursday"/>
    <x v="6"/>
    <n v="292"/>
    <n v="14"/>
    <n v="2690"/>
    <n v="442"/>
    <n v="156"/>
    <n v="266"/>
    <n v="1.32118959107806"/>
    <s v="low"/>
    <n v="0"/>
  </r>
  <r>
    <n v="1494"/>
    <x v="0"/>
    <x v="0"/>
    <d v="2024-04-12T00:00:00"/>
    <s v="Friday"/>
    <x v="10"/>
    <n v="177"/>
    <n v="5"/>
    <n v="4755"/>
    <n v="368"/>
    <n v="592"/>
    <n v="157"/>
    <n v="1.2349106203995699"/>
    <s v="low"/>
    <n v="0"/>
  </r>
  <r>
    <n v="1495"/>
    <x v="2"/>
    <x v="2"/>
    <d v="2024-02-21T00:00:00"/>
    <s v="Wednesday"/>
    <x v="3"/>
    <n v="187"/>
    <n v="10"/>
    <n v="264"/>
    <n v="551"/>
    <n v="42"/>
    <n v="131"/>
    <n v="3.74242424242424"/>
    <s v="high"/>
    <n v="0"/>
  </r>
  <r>
    <n v="1496"/>
    <x v="1"/>
    <x v="2"/>
    <d v="2024-04-27T00:00:00"/>
    <s v="Saturday"/>
    <x v="16"/>
    <n v="131"/>
    <n v="11"/>
    <n v="1760"/>
    <n v="211"/>
    <n v="312"/>
    <n v="168"/>
    <n v="1.3926136363636299"/>
    <s v="low"/>
    <n v="0"/>
  </r>
  <r>
    <n v="1497"/>
    <x v="0"/>
    <x v="2"/>
    <d v="2024-01-14T00:00:00"/>
    <s v="Sunday"/>
    <x v="10"/>
    <n v="214"/>
    <n v="1"/>
    <n v="1174"/>
    <n v="455"/>
    <n v="128"/>
    <n v="385"/>
    <n v="1.8245315161839799"/>
    <s v="average"/>
    <n v="0"/>
  </r>
  <r>
    <n v="1498"/>
    <x v="1"/>
    <x v="1"/>
    <d v="2024-08-16T00:00:00"/>
    <s v="Friday"/>
    <x v="0"/>
    <n v="67"/>
    <n v="5"/>
    <n v="3642"/>
    <n v="413"/>
    <n v="205"/>
    <n v="211"/>
    <n v="1.2276221856123"/>
    <s v="low"/>
    <n v="0"/>
  </r>
  <r>
    <n v="1499"/>
    <x v="0"/>
    <x v="0"/>
    <d v="2024-09-16T00:00:00"/>
    <s v="Monday"/>
    <x v="0"/>
    <n v="270"/>
    <n v="19"/>
    <n v="4787"/>
    <n v="746"/>
    <n v="530"/>
    <n v="125"/>
    <n v="1.29266764152914"/>
    <s v="low"/>
    <n v="0"/>
  </r>
  <r>
    <n v="1500"/>
    <x v="0"/>
    <x v="1"/>
    <d v="2024-07-02T00:00:00"/>
    <s v="Tuesday"/>
    <x v="5"/>
    <n v="264"/>
    <n v="8"/>
    <n v="2645"/>
    <n v="430"/>
    <n v="197"/>
    <n v="216"/>
    <n v="1.3187145557655899"/>
    <s v="low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B52F8-8586-4D74-B4B0-CACC33DCFB41}" name="PivotTable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22" firstHeaderRow="1" firstDataRow="1" firstDataCol="1"/>
  <pivotFields count="15"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showAll="0"/>
    <pivotField axis="axisRow" showAll="0" sortType="descending">
      <items count="19">
        <item x="13"/>
        <item x="12"/>
        <item x="11"/>
        <item x="17"/>
        <item x="8"/>
        <item x="7"/>
        <item x="5"/>
        <item x="6"/>
        <item x="4"/>
        <item x="15"/>
        <item x="16"/>
        <item x="10"/>
        <item x="2"/>
        <item x="9"/>
        <item x="0"/>
        <item x="3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Average of engagement_rate" fld="1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CF541-8C63-4F0B-A333-32DC78204744}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15">
    <pivotField showAll="0"/>
    <pivotField showAll="0">
      <items count="4">
        <item x="1"/>
        <item x="0"/>
        <item x="2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ngagement_rate" fld="1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A1000-989E-4756-A443-1FAB358824EE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ngagement_rate" fld="1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D5150-126E-43AD-9E49-7A602F64DA48}" name="Table1" displayName="Table1" ref="A1:O1501" totalsRowShown="0">
  <autoFilter ref="A1:O1501" xr:uid="{1FFD5150-126E-43AD-9E49-7A602F64DA48}"/>
  <tableColumns count="15">
    <tableColumn id="1" xr3:uid="{F3E107E5-503F-412D-9263-DA1C3834058D}" name="post_id"/>
    <tableColumn id="2" xr3:uid="{0B258411-7B0A-4ECE-929D-C76DB8AD495D}" name="platform"/>
    <tableColumn id="3" xr3:uid="{5CDCA351-DBAB-48DE-883C-483BA5371124}" name="post_type"/>
    <tableColumn id="4" xr3:uid="{BEED3787-C85B-49BA-ABC7-815A0878734A}" name="post_date" dataDxfId="0"/>
    <tableColumn id="5" xr3:uid="{C7CFDB60-201D-4050-B6E5-30A630750179}" name="day_of_week"/>
    <tableColumn id="6" xr3:uid="{B63C5191-CD95-426D-8784-417869E0196C}" name="posting_hour"/>
    <tableColumn id="7" xr3:uid="{72A53CD4-9971-44FB-AADF-44D650D1A8A0}" name="caption_length"/>
    <tableColumn id="8" xr3:uid="{AFA7698F-E8FD-4F73-9F53-EC0DE2560108}" name="hashtags_count"/>
    <tableColumn id="9" xr3:uid="{2FFBA782-45B3-4585-BA35-AD6232671EBC}" name="likes"/>
    <tableColumn id="10" xr3:uid="{6CF1DEB4-33B9-4E8A-8E12-7AA9D4F9C8B7}" name="comments"/>
    <tableColumn id="11" xr3:uid="{E974C17B-F08E-4EFD-AE71-2F3FFBDDED83}" name="shares"/>
    <tableColumn id="12" xr3:uid="{09688921-9CF1-42A6-9292-DD96DB5FDC03}" name="saves"/>
    <tableColumn id="13" xr3:uid="{60839CFA-3BA8-41E0-92B7-DA18A1990136}" name="engagement_rate"/>
    <tableColumn id="14" xr3:uid="{659D4E36-3984-4BD1-B656-11505602EA91}" name="performance_label"/>
    <tableColumn id="16" xr3:uid="{59FDE0C2-FB49-4FE5-A973-D034938F6A31}" name="is vira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83D0-B29E-42D7-8ACB-C1C494E55E96}">
  <dimension ref="A1:O1501"/>
  <sheetViews>
    <sheetView topLeftCell="A2" zoomScale="80" workbookViewId="0">
      <selection sqref="A1:O1501"/>
    </sheetView>
  </sheetViews>
  <sheetFormatPr defaultRowHeight="14.5" x14ac:dyDescent="0.35"/>
  <cols>
    <col min="1" max="1" width="8.90625" customWidth="1"/>
    <col min="2" max="2" width="10" customWidth="1"/>
    <col min="3" max="3" width="10.90625" customWidth="1"/>
    <col min="4" max="4" width="11" customWidth="1"/>
    <col min="5" max="5" width="13.453125" customWidth="1"/>
    <col min="6" max="6" width="13.6328125" customWidth="1"/>
    <col min="7" max="7" width="15.26953125" customWidth="1"/>
    <col min="8" max="8" width="16" customWidth="1"/>
    <col min="9" max="9" width="6.81640625" customWidth="1"/>
    <col min="10" max="10" width="11.7265625" customWidth="1"/>
    <col min="11" max="11" width="8.36328125" customWidth="1"/>
    <col min="12" max="12" width="7.54296875" customWidth="1"/>
    <col min="13" max="13" width="17.1796875" customWidth="1"/>
    <col min="14" max="14" width="18.54296875" customWidth="1"/>
    <col min="15" max="15" width="8.2695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 t="s">
        <v>16</v>
      </c>
      <c r="D2" s="1">
        <v>45349</v>
      </c>
      <c r="E2" t="s">
        <v>17</v>
      </c>
      <c r="F2">
        <v>9</v>
      </c>
      <c r="G2">
        <v>299</v>
      </c>
      <c r="H2">
        <v>2</v>
      </c>
      <c r="I2">
        <v>254</v>
      </c>
      <c r="J2">
        <v>764</v>
      </c>
      <c r="K2">
        <v>283</v>
      </c>
      <c r="L2">
        <v>251</v>
      </c>
      <c r="M2">
        <v>6.1102362204724399</v>
      </c>
      <c r="N2" t="s">
        <v>18</v>
      </c>
      <c r="O2">
        <v>0</v>
      </c>
    </row>
    <row r="3" spans="1:15" x14ac:dyDescent="0.35">
      <c r="A3">
        <v>2</v>
      </c>
      <c r="B3" t="s">
        <v>15</v>
      </c>
      <c r="C3" t="s">
        <v>19</v>
      </c>
      <c r="D3" s="1">
        <v>45508</v>
      </c>
      <c r="E3" t="s">
        <v>20</v>
      </c>
      <c r="F3">
        <v>6</v>
      </c>
      <c r="G3">
        <v>121</v>
      </c>
      <c r="H3">
        <v>20</v>
      </c>
      <c r="I3">
        <v>310</v>
      </c>
      <c r="J3">
        <v>35</v>
      </c>
      <c r="K3">
        <v>97</v>
      </c>
      <c r="L3">
        <v>224</v>
      </c>
      <c r="M3">
        <v>2.14838709677419</v>
      </c>
      <c r="N3" t="s">
        <v>21</v>
      </c>
      <c r="O3">
        <v>0</v>
      </c>
    </row>
    <row r="4" spans="1:15" x14ac:dyDescent="0.35">
      <c r="A4">
        <v>3</v>
      </c>
      <c r="B4" t="s">
        <v>22</v>
      </c>
      <c r="C4" t="s">
        <v>16</v>
      </c>
      <c r="D4" s="1">
        <v>45571</v>
      </c>
      <c r="E4" t="s">
        <v>20</v>
      </c>
      <c r="F4">
        <v>11</v>
      </c>
      <c r="G4">
        <v>236</v>
      </c>
      <c r="H4">
        <v>10</v>
      </c>
      <c r="I4">
        <v>3486</v>
      </c>
      <c r="J4">
        <v>230</v>
      </c>
      <c r="K4">
        <v>461</v>
      </c>
      <c r="L4">
        <v>604</v>
      </c>
      <c r="M4">
        <v>1.3714859437750999</v>
      </c>
      <c r="N4" t="s">
        <v>23</v>
      </c>
      <c r="O4">
        <v>0</v>
      </c>
    </row>
    <row r="5" spans="1:15" x14ac:dyDescent="0.35">
      <c r="A5">
        <v>4</v>
      </c>
      <c r="B5" t="s">
        <v>15</v>
      </c>
      <c r="C5" t="s">
        <v>24</v>
      </c>
      <c r="D5" s="1">
        <v>45434</v>
      </c>
      <c r="E5" t="s">
        <v>25</v>
      </c>
      <c r="F5">
        <v>9</v>
      </c>
      <c r="G5">
        <v>203</v>
      </c>
      <c r="H5">
        <v>11</v>
      </c>
      <c r="I5">
        <v>1323</v>
      </c>
      <c r="J5">
        <v>225</v>
      </c>
      <c r="K5">
        <v>346</v>
      </c>
      <c r="L5">
        <v>105</v>
      </c>
      <c r="M5">
        <v>1.51095993953136</v>
      </c>
      <c r="N5" t="s">
        <v>23</v>
      </c>
      <c r="O5">
        <v>0</v>
      </c>
    </row>
    <row r="6" spans="1:15" x14ac:dyDescent="0.35">
      <c r="A6">
        <v>5</v>
      </c>
      <c r="B6" t="s">
        <v>15</v>
      </c>
      <c r="C6" t="s">
        <v>24</v>
      </c>
      <c r="D6" s="1">
        <v>45427</v>
      </c>
      <c r="E6" t="s">
        <v>25</v>
      </c>
      <c r="F6">
        <v>8</v>
      </c>
      <c r="G6">
        <v>170</v>
      </c>
      <c r="H6">
        <v>20</v>
      </c>
      <c r="I6">
        <v>405</v>
      </c>
      <c r="J6">
        <v>752</v>
      </c>
      <c r="K6">
        <v>472</v>
      </c>
      <c r="L6">
        <v>550</v>
      </c>
      <c r="M6">
        <v>5.3802469135802404</v>
      </c>
      <c r="N6" t="s">
        <v>18</v>
      </c>
      <c r="O6">
        <v>0</v>
      </c>
    </row>
    <row r="7" spans="1:15" x14ac:dyDescent="0.35">
      <c r="A7">
        <v>6</v>
      </c>
      <c r="B7" t="s">
        <v>26</v>
      </c>
      <c r="C7" t="s">
        <v>16</v>
      </c>
      <c r="D7" s="1">
        <v>45477</v>
      </c>
      <c r="E7" t="s">
        <v>27</v>
      </c>
      <c r="F7">
        <v>15</v>
      </c>
      <c r="G7">
        <v>60</v>
      </c>
      <c r="H7">
        <v>7</v>
      </c>
      <c r="I7">
        <v>4779</v>
      </c>
      <c r="J7">
        <v>201</v>
      </c>
      <c r="K7">
        <v>73</v>
      </c>
      <c r="L7">
        <v>47</v>
      </c>
      <c r="M7">
        <v>1.06716886377903</v>
      </c>
      <c r="N7" t="s">
        <v>23</v>
      </c>
      <c r="O7">
        <v>0</v>
      </c>
    </row>
    <row r="8" spans="1:15" x14ac:dyDescent="0.35">
      <c r="A8">
        <v>7</v>
      </c>
      <c r="B8" t="s">
        <v>22</v>
      </c>
      <c r="C8" t="s">
        <v>16</v>
      </c>
      <c r="D8" s="1">
        <v>45343</v>
      </c>
      <c r="E8" t="s">
        <v>25</v>
      </c>
      <c r="F8">
        <v>17</v>
      </c>
      <c r="G8">
        <v>201</v>
      </c>
      <c r="H8">
        <v>6</v>
      </c>
      <c r="I8">
        <v>3163</v>
      </c>
      <c r="J8">
        <v>289</v>
      </c>
      <c r="K8">
        <v>466</v>
      </c>
      <c r="L8">
        <v>651</v>
      </c>
      <c r="M8">
        <v>1.444514701233</v>
      </c>
      <c r="N8" t="s">
        <v>23</v>
      </c>
      <c r="O8">
        <v>0</v>
      </c>
    </row>
    <row r="9" spans="1:15" x14ac:dyDescent="0.35">
      <c r="A9">
        <v>8</v>
      </c>
      <c r="B9" t="s">
        <v>26</v>
      </c>
      <c r="C9" t="s">
        <v>16</v>
      </c>
      <c r="D9" s="1">
        <v>45428</v>
      </c>
      <c r="E9" t="s">
        <v>27</v>
      </c>
      <c r="F9">
        <v>11</v>
      </c>
      <c r="G9">
        <v>256</v>
      </c>
      <c r="H9">
        <v>12</v>
      </c>
      <c r="I9">
        <v>634</v>
      </c>
      <c r="J9">
        <v>628</v>
      </c>
      <c r="K9">
        <v>177</v>
      </c>
      <c r="L9">
        <v>547</v>
      </c>
      <c r="M9">
        <v>3.13249211356466</v>
      </c>
      <c r="N9" t="s">
        <v>18</v>
      </c>
      <c r="O9">
        <v>0</v>
      </c>
    </row>
    <row r="10" spans="1:15" x14ac:dyDescent="0.35">
      <c r="A10">
        <v>9</v>
      </c>
      <c r="B10" t="s">
        <v>15</v>
      </c>
      <c r="C10" t="s">
        <v>16</v>
      </c>
      <c r="D10" s="1">
        <v>45430</v>
      </c>
      <c r="E10" t="s">
        <v>28</v>
      </c>
      <c r="F10">
        <v>16</v>
      </c>
      <c r="G10">
        <v>225</v>
      </c>
      <c r="H10">
        <v>8</v>
      </c>
      <c r="I10">
        <v>4612</v>
      </c>
      <c r="J10">
        <v>229</v>
      </c>
      <c r="K10">
        <v>334</v>
      </c>
      <c r="L10">
        <v>58</v>
      </c>
      <c r="M10">
        <v>1.1346487424111</v>
      </c>
      <c r="N10" t="s">
        <v>23</v>
      </c>
      <c r="O10">
        <v>0</v>
      </c>
    </row>
    <row r="11" spans="1:15" x14ac:dyDescent="0.35">
      <c r="A11">
        <v>10</v>
      </c>
      <c r="B11" t="s">
        <v>26</v>
      </c>
      <c r="C11" t="s">
        <v>24</v>
      </c>
      <c r="D11" s="1">
        <v>45325</v>
      </c>
      <c r="E11" t="s">
        <v>28</v>
      </c>
      <c r="F11">
        <v>18</v>
      </c>
      <c r="G11">
        <v>254</v>
      </c>
      <c r="H11">
        <v>4</v>
      </c>
      <c r="I11">
        <v>1778</v>
      </c>
      <c r="J11">
        <v>585</v>
      </c>
      <c r="K11">
        <v>324</v>
      </c>
      <c r="L11">
        <v>218</v>
      </c>
      <c r="M11">
        <v>1.6338582677165301</v>
      </c>
      <c r="N11" t="s">
        <v>21</v>
      </c>
      <c r="O11">
        <v>0</v>
      </c>
    </row>
    <row r="12" spans="1:15" x14ac:dyDescent="0.35">
      <c r="A12">
        <v>11</v>
      </c>
      <c r="B12" t="s">
        <v>22</v>
      </c>
      <c r="C12" t="s">
        <v>19</v>
      </c>
      <c r="D12" s="1">
        <v>45427</v>
      </c>
      <c r="E12" t="s">
        <v>25</v>
      </c>
      <c r="F12">
        <v>19</v>
      </c>
      <c r="G12">
        <v>224</v>
      </c>
      <c r="H12">
        <v>11</v>
      </c>
      <c r="I12">
        <v>1193</v>
      </c>
      <c r="J12">
        <v>257</v>
      </c>
      <c r="K12">
        <v>576</v>
      </c>
      <c r="L12">
        <v>552</v>
      </c>
      <c r="M12">
        <v>2.1609388097233801</v>
      </c>
      <c r="N12" t="s">
        <v>21</v>
      </c>
      <c r="O12">
        <v>1</v>
      </c>
    </row>
    <row r="13" spans="1:15" x14ac:dyDescent="0.35">
      <c r="A13">
        <v>12</v>
      </c>
      <c r="B13" t="s">
        <v>15</v>
      </c>
      <c r="C13" t="s">
        <v>16</v>
      </c>
      <c r="D13" s="1">
        <v>45404</v>
      </c>
      <c r="E13" t="s">
        <v>29</v>
      </c>
      <c r="F13">
        <v>10</v>
      </c>
      <c r="G13">
        <v>101</v>
      </c>
      <c r="H13">
        <v>13</v>
      </c>
      <c r="I13">
        <v>1183</v>
      </c>
      <c r="J13">
        <v>526</v>
      </c>
      <c r="K13">
        <v>507</v>
      </c>
      <c r="L13">
        <v>94</v>
      </c>
      <c r="M13">
        <v>1.95266272189349</v>
      </c>
      <c r="N13" t="s">
        <v>21</v>
      </c>
      <c r="O13">
        <v>0</v>
      </c>
    </row>
    <row r="14" spans="1:15" x14ac:dyDescent="0.35">
      <c r="A14">
        <v>13</v>
      </c>
      <c r="B14" t="s">
        <v>22</v>
      </c>
      <c r="C14" t="s">
        <v>19</v>
      </c>
      <c r="D14" s="1">
        <v>45324</v>
      </c>
      <c r="E14" t="s">
        <v>30</v>
      </c>
      <c r="F14">
        <v>6</v>
      </c>
      <c r="G14">
        <v>78</v>
      </c>
      <c r="H14">
        <v>17</v>
      </c>
      <c r="I14">
        <v>3202</v>
      </c>
      <c r="J14">
        <v>395</v>
      </c>
      <c r="K14">
        <v>481</v>
      </c>
      <c r="L14">
        <v>542</v>
      </c>
      <c r="M14">
        <v>1.4428482198625801</v>
      </c>
      <c r="N14" t="s">
        <v>23</v>
      </c>
      <c r="O14">
        <v>0</v>
      </c>
    </row>
    <row r="15" spans="1:15" x14ac:dyDescent="0.35">
      <c r="A15">
        <v>14</v>
      </c>
      <c r="B15" t="s">
        <v>15</v>
      </c>
      <c r="C15" t="s">
        <v>24</v>
      </c>
      <c r="D15" s="1">
        <v>45428</v>
      </c>
      <c r="E15" t="s">
        <v>27</v>
      </c>
      <c r="F15">
        <v>6</v>
      </c>
      <c r="G15">
        <v>154</v>
      </c>
      <c r="H15">
        <v>16</v>
      </c>
      <c r="I15">
        <v>2836</v>
      </c>
      <c r="J15">
        <v>119</v>
      </c>
      <c r="K15">
        <v>302</v>
      </c>
      <c r="L15">
        <v>446</v>
      </c>
      <c r="M15">
        <v>1.3057122708039399</v>
      </c>
      <c r="N15" t="s">
        <v>23</v>
      </c>
      <c r="O15">
        <v>0</v>
      </c>
    </row>
    <row r="16" spans="1:15" x14ac:dyDescent="0.35">
      <c r="A16">
        <v>15</v>
      </c>
      <c r="B16" t="s">
        <v>26</v>
      </c>
      <c r="C16" t="s">
        <v>19</v>
      </c>
      <c r="D16" s="1">
        <v>45383</v>
      </c>
      <c r="E16" t="s">
        <v>29</v>
      </c>
      <c r="F16">
        <v>12</v>
      </c>
      <c r="G16">
        <v>98</v>
      </c>
      <c r="H16">
        <v>11</v>
      </c>
      <c r="I16">
        <v>4208</v>
      </c>
      <c r="J16">
        <v>113</v>
      </c>
      <c r="K16">
        <v>307</v>
      </c>
      <c r="L16">
        <v>655</v>
      </c>
      <c r="M16">
        <v>1.25546577946768</v>
      </c>
      <c r="N16" t="s">
        <v>23</v>
      </c>
      <c r="O16">
        <v>0</v>
      </c>
    </row>
    <row r="17" spans="1:15" x14ac:dyDescent="0.35">
      <c r="A17">
        <v>16</v>
      </c>
      <c r="B17" t="s">
        <v>22</v>
      </c>
      <c r="C17" t="s">
        <v>24</v>
      </c>
      <c r="D17" s="1">
        <v>45374</v>
      </c>
      <c r="E17" t="s">
        <v>28</v>
      </c>
      <c r="F17">
        <v>6</v>
      </c>
      <c r="G17">
        <v>77</v>
      </c>
      <c r="H17">
        <v>11</v>
      </c>
      <c r="I17">
        <v>4468</v>
      </c>
      <c r="J17">
        <v>548</v>
      </c>
      <c r="K17">
        <v>2</v>
      </c>
      <c r="L17">
        <v>614</v>
      </c>
      <c r="M17">
        <v>1.2605192479856699</v>
      </c>
      <c r="N17" t="s">
        <v>23</v>
      </c>
      <c r="O17">
        <v>0</v>
      </c>
    </row>
    <row r="18" spans="1:15" x14ac:dyDescent="0.35">
      <c r="A18">
        <v>17</v>
      </c>
      <c r="B18" t="s">
        <v>15</v>
      </c>
      <c r="C18" t="s">
        <v>16</v>
      </c>
      <c r="D18" s="1">
        <v>45449</v>
      </c>
      <c r="E18" t="s">
        <v>27</v>
      </c>
      <c r="F18">
        <v>21</v>
      </c>
      <c r="G18">
        <v>55</v>
      </c>
      <c r="H18">
        <v>17</v>
      </c>
      <c r="I18">
        <v>2011</v>
      </c>
      <c r="J18">
        <v>64</v>
      </c>
      <c r="K18">
        <v>248</v>
      </c>
      <c r="L18">
        <v>581</v>
      </c>
      <c r="M18">
        <v>1.4440576827449001</v>
      </c>
      <c r="N18" t="s">
        <v>23</v>
      </c>
      <c r="O18">
        <v>0</v>
      </c>
    </row>
    <row r="19" spans="1:15" x14ac:dyDescent="0.35">
      <c r="A19">
        <v>18</v>
      </c>
      <c r="B19" t="s">
        <v>15</v>
      </c>
      <c r="C19" t="s">
        <v>24</v>
      </c>
      <c r="D19" s="1">
        <v>45356</v>
      </c>
      <c r="E19" t="s">
        <v>17</v>
      </c>
      <c r="F19">
        <v>22</v>
      </c>
      <c r="G19">
        <v>236</v>
      </c>
      <c r="H19">
        <v>6</v>
      </c>
      <c r="I19">
        <v>1101</v>
      </c>
      <c r="J19">
        <v>680</v>
      </c>
      <c r="K19">
        <v>488</v>
      </c>
      <c r="L19">
        <v>563</v>
      </c>
      <c r="M19">
        <v>2.5722070844686602</v>
      </c>
      <c r="N19" t="s">
        <v>18</v>
      </c>
      <c r="O19">
        <v>0</v>
      </c>
    </row>
    <row r="20" spans="1:15" x14ac:dyDescent="0.35">
      <c r="A20">
        <v>19</v>
      </c>
      <c r="B20" t="s">
        <v>26</v>
      </c>
      <c r="C20" t="s">
        <v>19</v>
      </c>
      <c r="D20" s="1">
        <v>45568</v>
      </c>
      <c r="E20" t="s">
        <v>27</v>
      </c>
      <c r="F20">
        <v>17</v>
      </c>
      <c r="G20">
        <v>244</v>
      </c>
      <c r="H20">
        <v>16</v>
      </c>
      <c r="I20">
        <v>1697</v>
      </c>
      <c r="J20">
        <v>735</v>
      </c>
      <c r="K20">
        <v>321</v>
      </c>
      <c r="L20">
        <v>409</v>
      </c>
      <c r="M20">
        <v>1.86328815556865</v>
      </c>
      <c r="N20" t="s">
        <v>21</v>
      </c>
      <c r="O20">
        <v>0</v>
      </c>
    </row>
    <row r="21" spans="1:15" x14ac:dyDescent="0.35">
      <c r="A21">
        <v>20</v>
      </c>
      <c r="B21" t="s">
        <v>22</v>
      </c>
      <c r="C21" t="s">
        <v>16</v>
      </c>
      <c r="D21" s="1">
        <v>45523</v>
      </c>
      <c r="E21" t="s">
        <v>29</v>
      </c>
      <c r="F21">
        <v>23</v>
      </c>
      <c r="G21">
        <v>137</v>
      </c>
      <c r="H21">
        <v>18</v>
      </c>
      <c r="I21">
        <v>1041</v>
      </c>
      <c r="J21">
        <v>258</v>
      </c>
      <c r="K21">
        <v>232</v>
      </c>
      <c r="L21">
        <v>66</v>
      </c>
      <c r="M21">
        <v>1.5341018251681</v>
      </c>
      <c r="N21" t="s">
        <v>23</v>
      </c>
      <c r="O21">
        <v>0</v>
      </c>
    </row>
    <row r="22" spans="1:15" x14ac:dyDescent="0.35">
      <c r="A22">
        <v>21</v>
      </c>
      <c r="B22" t="s">
        <v>15</v>
      </c>
      <c r="C22" t="s">
        <v>16</v>
      </c>
      <c r="D22" s="1">
        <v>45404</v>
      </c>
      <c r="E22" t="s">
        <v>29</v>
      </c>
      <c r="F22">
        <v>16</v>
      </c>
      <c r="G22">
        <v>56</v>
      </c>
      <c r="H22">
        <v>16</v>
      </c>
      <c r="I22">
        <v>108</v>
      </c>
      <c r="J22">
        <v>77</v>
      </c>
      <c r="K22">
        <v>62</v>
      </c>
      <c r="L22">
        <v>235</v>
      </c>
      <c r="M22">
        <v>4.4629629629629601</v>
      </c>
      <c r="N22" t="s">
        <v>18</v>
      </c>
      <c r="O22">
        <v>0</v>
      </c>
    </row>
    <row r="23" spans="1:15" x14ac:dyDescent="0.35">
      <c r="A23">
        <v>22</v>
      </c>
      <c r="B23" t="s">
        <v>26</v>
      </c>
      <c r="C23" t="s">
        <v>16</v>
      </c>
      <c r="D23" s="1">
        <v>45413</v>
      </c>
      <c r="E23" t="s">
        <v>25</v>
      </c>
      <c r="F23">
        <v>21</v>
      </c>
      <c r="G23">
        <v>144</v>
      </c>
      <c r="H23">
        <v>15</v>
      </c>
      <c r="I23">
        <v>2331</v>
      </c>
      <c r="J23">
        <v>690</v>
      </c>
      <c r="K23">
        <v>499</v>
      </c>
      <c r="L23">
        <v>220</v>
      </c>
      <c r="M23">
        <v>1.6044616044616</v>
      </c>
      <c r="N23" t="s">
        <v>23</v>
      </c>
      <c r="O23">
        <v>0</v>
      </c>
    </row>
    <row r="24" spans="1:15" x14ac:dyDescent="0.35">
      <c r="A24">
        <v>23</v>
      </c>
      <c r="B24" t="s">
        <v>22</v>
      </c>
      <c r="C24" t="s">
        <v>24</v>
      </c>
      <c r="D24" s="1">
        <v>45500</v>
      </c>
      <c r="E24" t="s">
        <v>28</v>
      </c>
      <c r="F24">
        <v>19</v>
      </c>
      <c r="G24">
        <v>230</v>
      </c>
      <c r="H24">
        <v>14</v>
      </c>
      <c r="I24">
        <v>1609</v>
      </c>
      <c r="J24">
        <v>101</v>
      </c>
      <c r="K24">
        <v>101</v>
      </c>
      <c r="L24">
        <v>675</v>
      </c>
      <c r="M24">
        <v>1.5450590428837701</v>
      </c>
      <c r="N24" t="s">
        <v>23</v>
      </c>
      <c r="O24">
        <v>0</v>
      </c>
    </row>
    <row r="25" spans="1:15" x14ac:dyDescent="0.35">
      <c r="A25">
        <v>24</v>
      </c>
      <c r="B25" t="s">
        <v>15</v>
      </c>
      <c r="C25" t="s">
        <v>16</v>
      </c>
      <c r="D25" s="1">
        <v>45319</v>
      </c>
      <c r="E25" t="s">
        <v>20</v>
      </c>
      <c r="F25">
        <v>12</v>
      </c>
      <c r="G25">
        <v>117</v>
      </c>
      <c r="H25">
        <v>17</v>
      </c>
      <c r="I25">
        <v>856</v>
      </c>
      <c r="J25">
        <v>67</v>
      </c>
      <c r="K25">
        <v>414</v>
      </c>
      <c r="L25">
        <v>348</v>
      </c>
      <c r="M25">
        <v>1.9684579439252301</v>
      </c>
      <c r="N25" t="s">
        <v>21</v>
      </c>
      <c r="O25">
        <v>0</v>
      </c>
    </row>
    <row r="26" spans="1:15" x14ac:dyDescent="0.35">
      <c r="A26">
        <v>25</v>
      </c>
      <c r="B26" t="s">
        <v>22</v>
      </c>
      <c r="C26" t="s">
        <v>16</v>
      </c>
      <c r="D26" s="1">
        <v>45521</v>
      </c>
      <c r="E26" t="s">
        <v>28</v>
      </c>
      <c r="F26">
        <v>8</v>
      </c>
      <c r="G26">
        <v>246</v>
      </c>
      <c r="H26">
        <v>17</v>
      </c>
      <c r="I26">
        <v>1198</v>
      </c>
      <c r="J26">
        <v>437</v>
      </c>
      <c r="K26">
        <v>189</v>
      </c>
      <c r="L26">
        <v>286</v>
      </c>
      <c r="M26">
        <v>1.7612687813021699</v>
      </c>
      <c r="N26" t="s">
        <v>21</v>
      </c>
      <c r="O26">
        <v>0</v>
      </c>
    </row>
    <row r="27" spans="1:15" x14ac:dyDescent="0.35">
      <c r="A27">
        <v>26</v>
      </c>
      <c r="B27" t="s">
        <v>15</v>
      </c>
      <c r="C27" t="s">
        <v>16</v>
      </c>
      <c r="D27" s="1">
        <v>45342</v>
      </c>
      <c r="E27" t="s">
        <v>17</v>
      </c>
      <c r="F27">
        <v>11</v>
      </c>
      <c r="G27">
        <v>228</v>
      </c>
      <c r="H27">
        <v>15</v>
      </c>
      <c r="I27">
        <v>464</v>
      </c>
      <c r="J27">
        <v>672</v>
      </c>
      <c r="K27">
        <v>555</v>
      </c>
      <c r="L27">
        <v>16</v>
      </c>
      <c r="M27">
        <v>3.6788793103448199</v>
      </c>
      <c r="N27" t="s">
        <v>18</v>
      </c>
      <c r="O27">
        <v>1</v>
      </c>
    </row>
    <row r="28" spans="1:15" x14ac:dyDescent="0.35">
      <c r="A28">
        <v>27</v>
      </c>
      <c r="B28" t="s">
        <v>22</v>
      </c>
      <c r="C28" t="s">
        <v>16</v>
      </c>
      <c r="D28" s="1">
        <v>45538</v>
      </c>
      <c r="E28" t="s">
        <v>17</v>
      </c>
      <c r="F28">
        <v>18</v>
      </c>
      <c r="G28">
        <v>155</v>
      </c>
      <c r="H28">
        <v>14</v>
      </c>
      <c r="I28">
        <v>1801</v>
      </c>
      <c r="J28">
        <v>415</v>
      </c>
      <c r="K28">
        <v>62</v>
      </c>
      <c r="L28">
        <v>169</v>
      </c>
      <c r="M28">
        <v>1.35868961687951</v>
      </c>
      <c r="N28" t="s">
        <v>23</v>
      </c>
      <c r="O28">
        <v>0</v>
      </c>
    </row>
    <row r="29" spans="1:15" x14ac:dyDescent="0.35">
      <c r="A29">
        <v>28</v>
      </c>
      <c r="B29" t="s">
        <v>26</v>
      </c>
      <c r="C29" t="s">
        <v>24</v>
      </c>
      <c r="D29" s="1">
        <v>45438</v>
      </c>
      <c r="E29" t="s">
        <v>20</v>
      </c>
      <c r="F29">
        <v>10</v>
      </c>
      <c r="G29">
        <v>117</v>
      </c>
      <c r="H29">
        <v>9</v>
      </c>
      <c r="I29">
        <v>3515</v>
      </c>
      <c r="J29">
        <v>718</v>
      </c>
      <c r="K29">
        <v>571</v>
      </c>
      <c r="L29">
        <v>678</v>
      </c>
      <c r="M29">
        <v>1.55960170697012</v>
      </c>
      <c r="N29" t="s">
        <v>23</v>
      </c>
      <c r="O29">
        <v>0</v>
      </c>
    </row>
    <row r="30" spans="1:15" x14ac:dyDescent="0.35">
      <c r="A30">
        <v>29</v>
      </c>
      <c r="B30" t="s">
        <v>26</v>
      </c>
      <c r="C30" t="s">
        <v>24</v>
      </c>
      <c r="D30" s="1">
        <v>45403</v>
      </c>
      <c r="E30" t="s">
        <v>20</v>
      </c>
      <c r="F30">
        <v>7</v>
      </c>
      <c r="G30">
        <v>45</v>
      </c>
      <c r="H30">
        <v>18</v>
      </c>
      <c r="I30">
        <v>529</v>
      </c>
      <c r="J30">
        <v>598</v>
      </c>
      <c r="K30">
        <v>557</v>
      </c>
      <c r="L30">
        <v>63</v>
      </c>
      <c r="M30">
        <v>3.3024574669187099</v>
      </c>
      <c r="N30" t="s">
        <v>18</v>
      </c>
      <c r="O30">
        <v>1</v>
      </c>
    </row>
    <row r="31" spans="1:15" x14ac:dyDescent="0.35">
      <c r="A31">
        <v>30</v>
      </c>
      <c r="B31" t="s">
        <v>26</v>
      </c>
      <c r="C31" t="s">
        <v>16</v>
      </c>
      <c r="D31" s="1">
        <v>45536</v>
      </c>
      <c r="E31" t="s">
        <v>20</v>
      </c>
      <c r="F31">
        <v>11</v>
      </c>
      <c r="G31">
        <v>55</v>
      </c>
      <c r="H31">
        <v>19</v>
      </c>
      <c r="I31">
        <v>4169</v>
      </c>
      <c r="J31">
        <v>548</v>
      </c>
      <c r="K31">
        <v>163</v>
      </c>
      <c r="L31">
        <v>59</v>
      </c>
      <c r="M31">
        <v>1.18469656992084</v>
      </c>
      <c r="N31" t="s">
        <v>23</v>
      </c>
      <c r="O31">
        <v>0</v>
      </c>
    </row>
    <row r="32" spans="1:15" x14ac:dyDescent="0.35">
      <c r="A32">
        <v>31</v>
      </c>
      <c r="B32" t="s">
        <v>15</v>
      </c>
      <c r="C32" t="s">
        <v>19</v>
      </c>
      <c r="D32" s="1">
        <v>45326</v>
      </c>
      <c r="E32" t="s">
        <v>20</v>
      </c>
      <c r="F32">
        <v>7</v>
      </c>
      <c r="G32">
        <v>61</v>
      </c>
      <c r="H32">
        <v>13</v>
      </c>
      <c r="I32">
        <v>1976</v>
      </c>
      <c r="J32">
        <v>418</v>
      </c>
      <c r="K32">
        <v>124</v>
      </c>
      <c r="L32">
        <v>584</v>
      </c>
      <c r="M32">
        <v>1.56983805668016</v>
      </c>
      <c r="N32" t="s">
        <v>23</v>
      </c>
      <c r="O32">
        <v>0</v>
      </c>
    </row>
    <row r="33" spans="1:15" x14ac:dyDescent="0.35">
      <c r="A33">
        <v>32</v>
      </c>
      <c r="B33" t="s">
        <v>15</v>
      </c>
      <c r="C33" t="s">
        <v>19</v>
      </c>
      <c r="D33" s="1">
        <v>45590</v>
      </c>
      <c r="E33" t="s">
        <v>30</v>
      </c>
      <c r="F33">
        <v>16</v>
      </c>
      <c r="G33">
        <v>142</v>
      </c>
      <c r="H33">
        <v>8</v>
      </c>
      <c r="I33">
        <v>4680</v>
      </c>
      <c r="J33">
        <v>540</v>
      </c>
      <c r="K33">
        <v>325</v>
      </c>
      <c r="L33">
        <v>268</v>
      </c>
      <c r="M33">
        <v>1.24209401709401</v>
      </c>
      <c r="N33" t="s">
        <v>23</v>
      </c>
      <c r="O33">
        <v>0</v>
      </c>
    </row>
    <row r="34" spans="1:15" x14ac:dyDescent="0.35">
      <c r="A34">
        <v>33</v>
      </c>
      <c r="B34" t="s">
        <v>22</v>
      </c>
      <c r="C34" t="s">
        <v>16</v>
      </c>
      <c r="D34" s="1">
        <v>45494</v>
      </c>
      <c r="E34" t="s">
        <v>20</v>
      </c>
      <c r="F34">
        <v>6</v>
      </c>
      <c r="G34">
        <v>254</v>
      </c>
      <c r="H34">
        <v>19</v>
      </c>
      <c r="I34">
        <v>1122</v>
      </c>
      <c r="J34">
        <v>692</v>
      </c>
      <c r="K34">
        <v>309</v>
      </c>
      <c r="L34">
        <v>469</v>
      </c>
      <c r="M34">
        <v>2.3101604278074799</v>
      </c>
      <c r="N34" t="s">
        <v>21</v>
      </c>
      <c r="O34">
        <v>0</v>
      </c>
    </row>
    <row r="35" spans="1:15" x14ac:dyDescent="0.35">
      <c r="A35">
        <v>34</v>
      </c>
      <c r="B35" t="s">
        <v>26</v>
      </c>
      <c r="C35" t="s">
        <v>24</v>
      </c>
      <c r="D35" s="1">
        <v>45580</v>
      </c>
      <c r="E35" t="s">
        <v>17</v>
      </c>
      <c r="F35">
        <v>10</v>
      </c>
      <c r="G35">
        <v>198</v>
      </c>
      <c r="H35">
        <v>2</v>
      </c>
      <c r="I35">
        <v>869</v>
      </c>
      <c r="J35">
        <v>80</v>
      </c>
      <c r="K35">
        <v>552</v>
      </c>
      <c r="L35">
        <v>219</v>
      </c>
      <c r="M35">
        <v>1.9792865362485601</v>
      </c>
      <c r="N35" t="s">
        <v>21</v>
      </c>
      <c r="O35">
        <v>0</v>
      </c>
    </row>
    <row r="36" spans="1:15" x14ac:dyDescent="0.35">
      <c r="A36">
        <v>35</v>
      </c>
      <c r="B36" t="s">
        <v>26</v>
      </c>
      <c r="C36" t="s">
        <v>19</v>
      </c>
      <c r="D36" s="1">
        <v>45417</v>
      </c>
      <c r="E36" t="s">
        <v>20</v>
      </c>
      <c r="F36">
        <v>15</v>
      </c>
      <c r="G36">
        <v>290</v>
      </c>
      <c r="H36">
        <v>0</v>
      </c>
      <c r="I36">
        <v>3077</v>
      </c>
      <c r="J36">
        <v>296</v>
      </c>
      <c r="K36">
        <v>163</v>
      </c>
      <c r="L36">
        <v>449</v>
      </c>
      <c r="M36">
        <v>1.2950926226844299</v>
      </c>
      <c r="N36" t="s">
        <v>23</v>
      </c>
      <c r="O36">
        <v>0</v>
      </c>
    </row>
    <row r="37" spans="1:15" x14ac:dyDescent="0.35">
      <c r="A37">
        <v>36</v>
      </c>
      <c r="B37" t="s">
        <v>22</v>
      </c>
      <c r="C37" t="s">
        <v>16</v>
      </c>
      <c r="D37" s="1">
        <v>45575</v>
      </c>
      <c r="E37" t="s">
        <v>27</v>
      </c>
      <c r="F37">
        <v>9</v>
      </c>
      <c r="G37">
        <v>99</v>
      </c>
      <c r="H37">
        <v>8</v>
      </c>
      <c r="I37">
        <v>2502</v>
      </c>
      <c r="J37">
        <v>684</v>
      </c>
      <c r="K37">
        <v>108</v>
      </c>
      <c r="L37">
        <v>138</v>
      </c>
      <c r="M37">
        <v>1.3717026378896799</v>
      </c>
      <c r="N37" t="s">
        <v>23</v>
      </c>
      <c r="O37">
        <v>0</v>
      </c>
    </row>
    <row r="38" spans="1:15" x14ac:dyDescent="0.35">
      <c r="A38">
        <v>37</v>
      </c>
      <c r="B38" t="s">
        <v>26</v>
      </c>
      <c r="C38" t="s">
        <v>19</v>
      </c>
      <c r="D38" s="1">
        <v>45436</v>
      </c>
      <c r="E38" t="s">
        <v>30</v>
      </c>
      <c r="F38">
        <v>14</v>
      </c>
      <c r="G38">
        <v>278</v>
      </c>
      <c r="H38">
        <v>15</v>
      </c>
      <c r="I38">
        <v>1775</v>
      </c>
      <c r="J38">
        <v>739</v>
      </c>
      <c r="K38">
        <v>353</v>
      </c>
      <c r="L38">
        <v>209</v>
      </c>
      <c r="M38">
        <v>1.7329577464788699</v>
      </c>
      <c r="N38" t="s">
        <v>21</v>
      </c>
      <c r="O38">
        <v>0</v>
      </c>
    </row>
    <row r="39" spans="1:15" x14ac:dyDescent="0.35">
      <c r="A39">
        <v>38</v>
      </c>
      <c r="B39" t="s">
        <v>15</v>
      </c>
      <c r="C39" t="s">
        <v>16</v>
      </c>
      <c r="D39" s="1">
        <v>45420</v>
      </c>
      <c r="E39" t="s">
        <v>25</v>
      </c>
      <c r="F39">
        <v>16</v>
      </c>
      <c r="G39">
        <v>86</v>
      </c>
      <c r="H39">
        <v>20</v>
      </c>
      <c r="I39">
        <v>466</v>
      </c>
      <c r="J39">
        <v>99</v>
      </c>
      <c r="K39">
        <v>435</v>
      </c>
      <c r="L39">
        <v>284</v>
      </c>
      <c r="M39">
        <v>2.7553648068669498</v>
      </c>
      <c r="N39" t="s">
        <v>18</v>
      </c>
      <c r="O39">
        <v>0</v>
      </c>
    </row>
    <row r="40" spans="1:15" x14ac:dyDescent="0.35">
      <c r="A40">
        <v>39</v>
      </c>
      <c r="B40" t="s">
        <v>26</v>
      </c>
      <c r="C40" t="s">
        <v>24</v>
      </c>
      <c r="D40" s="1">
        <v>45426</v>
      </c>
      <c r="E40" t="s">
        <v>17</v>
      </c>
      <c r="F40">
        <v>23</v>
      </c>
      <c r="G40">
        <v>24</v>
      </c>
      <c r="H40">
        <v>3</v>
      </c>
      <c r="I40">
        <v>1373</v>
      </c>
      <c r="J40">
        <v>764</v>
      </c>
      <c r="K40">
        <v>454</v>
      </c>
      <c r="L40">
        <v>565</v>
      </c>
      <c r="M40">
        <v>2.2986161689730502</v>
      </c>
      <c r="N40" t="s">
        <v>21</v>
      </c>
      <c r="O40">
        <v>0</v>
      </c>
    </row>
    <row r="41" spans="1:15" x14ac:dyDescent="0.35">
      <c r="A41">
        <v>40</v>
      </c>
      <c r="B41" t="s">
        <v>26</v>
      </c>
      <c r="C41" t="s">
        <v>19</v>
      </c>
      <c r="D41" s="1">
        <v>45330</v>
      </c>
      <c r="E41" t="s">
        <v>27</v>
      </c>
      <c r="F41">
        <v>10</v>
      </c>
      <c r="G41">
        <v>240</v>
      </c>
      <c r="H41">
        <v>4</v>
      </c>
      <c r="I41">
        <v>1271</v>
      </c>
      <c r="J41">
        <v>563</v>
      </c>
      <c r="K41">
        <v>38</v>
      </c>
      <c r="L41">
        <v>379</v>
      </c>
      <c r="M41">
        <v>1.7710464201416201</v>
      </c>
      <c r="N41" t="s">
        <v>21</v>
      </c>
      <c r="O41">
        <v>0</v>
      </c>
    </row>
    <row r="42" spans="1:15" x14ac:dyDescent="0.35">
      <c r="A42">
        <v>41</v>
      </c>
      <c r="B42" t="s">
        <v>15</v>
      </c>
      <c r="C42" t="s">
        <v>19</v>
      </c>
      <c r="D42" s="1">
        <v>45313</v>
      </c>
      <c r="E42" t="s">
        <v>29</v>
      </c>
      <c r="F42">
        <v>13</v>
      </c>
      <c r="G42">
        <v>72</v>
      </c>
      <c r="H42">
        <v>11</v>
      </c>
      <c r="I42">
        <v>2575</v>
      </c>
      <c r="J42">
        <v>378</v>
      </c>
      <c r="K42">
        <v>42</v>
      </c>
      <c r="L42">
        <v>367</v>
      </c>
      <c r="M42">
        <v>1.30563106796116</v>
      </c>
      <c r="N42" t="s">
        <v>23</v>
      </c>
      <c r="O42">
        <v>0</v>
      </c>
    </row>
    <row r="43" spans="1:15" x14ac:dyDescent="0.35">
      <c r="A43">
        <v>42</v>
      </c>
      <c r="B43" t="s">
        <v>15</v>
      </c>
      <c r="C43" t="s">
        <v>16</v>
      </c>
      <c r="D43" s="1">
        <v>45578</v>
      </c>
      <c r="E43" t="s">
        <v>20</v>
      </c>
      <c r="F43">
        <v>19</v>
      </c>
      <c r="G43">
        <v>32</v>
      </c>
      <c r="H43">
        <v>5</v>
      </c>
      <c r="I43">
        <v>3379</v>
      </c>
      <c r="J43">
        <v>640</v>
      </c>
      <c r="K43">
        <v>160</v>
      </c>
      <c r="L43">
        <v>243</v>
      </c>
      <c r="M43">
        <v>1.3086712044983699</v>
      </c>
      <c r="N43" t="s">
        <v>23</v>
      </c>
      <c r="O43">
        <v>0</v>
      </c>
    </row>
    <row r="44" spans="1:15" x14ac:dyDescent="0.35">
      <c r="A44">
        <v>43</v>
      </c>
      <c r="B44" t="s">
        <v>15</v>
      </c>
      <c r="C44" t="s">
        <v>19</v>
      </c>
      <c r="D44" s="1">
        <v>45462</v>
      </c>
      <c r="E44" t="s">
        <v>25</v>
      </c>
      <c r="F44">
        <v>9</v>
      </c>
      <c r="G44">
        <v>215</v>
      </c>
      <c r="H44">
        <v>1</v>
      </c>
      <c r="I44">
        <v>3422</v>
      </c>
      <c r="J44">
        <v>690</v>
      </c>
      <c r="K44">
        <v>256</v>
      </c>
      <c r="L44">
        <v>274</v>
      </c>
      <c r="M44">
        <v>1.3565166569257701</v>
      </c>
      <c r="N44" t="s">
        <v>23</v>
      </c>
      <c r="O44">
        <v>0</v>
      </c>
    </row>
    <row r="45" spans="1:15" x14ac:dyDescent="0.35">
      <c r="A45">
        <v>44</v>
      </c>
      <c r="B45" t="s">
        <v>22</v>
      </c>
      <c r="C45" t="s">
        <v>16</v>
      </c>
      <c r="D45" s="1">
        <v>45532</v>
      </c>
      <c r="E45" t="s">
        <v>25</v>
      </c>
      <c r="F45">
        <v>13</v>
      </c>
      <c r="G45">
        <v>32</v>
      </c>
      <c r="H45">
        <v>6</v>
      </c>
      <c r="I45">
        <v>1872</v>
      </c>
      <c r="J45">
        <v>209</v>
      </c>
      <c r="K45">
        <v>473</v>
      </c>
      <c r="L45">
        <v>359</v>
      </c>
      <c r="M45">
        <v>1.5560897435897401</v>
      </c>
      <c r="N45" t="s">
        <v>23</v>
      </c>
      <c r="O45">
        <v>0</v>
      </c>
    </row>
    <row r="46" spans="1:15" x14ac:dyDescent="0.35">
      <c r="A46">
        <v>45</v>
      </c>
      <c r="B46" t="s">
        <v>22</v>
      </c>
      <c r="C46" t="s">
        <v>19</v>
      </c>
      <c r="D46" s="1">
        <v>45496</v>
      </c>
      <c r="E46" t="s">
        <v>17</v>
      </c>
      <c r="F46">
        <v>22</v>
      </c>
      <c r="G46">
        <v>224</v>
      </c>
      <c r="H46">
        <v>17</v>
      </c>
      <c r="I46">
        <v>2739</v>
      </c>
      <c r="J46">
        <v>290</v>
      </c>
      <c r="K46">
        <v>73</v>
      </c>
      <c r="L46">
        <v>286</v>
      </c>
      <c r="M46">
        <v>1.23694779116465</v>
      </c>
      <c r="N46" t="s">
        <v>23</v>
      </c>
      <c r="O46">
        <v>0</v>
      </c>
    </row>
    <row r="47" spans="1:15" x14ac:dyDescent="0.35">
      <c r="A47">
        <v>46</v>
      </c>
      <c r="B47" t="s">
        <v>26</v>
      </c>
      <c r="C47" t="s">
        <v>24</v>
      </c>
      <c r="D47" s="1">
        <v>45461</v>
      </c>
      <c r="E47" t="s">
        <v>17</v>
      </c>
      <c r="F47">
        <v>7</v>
      </c>
      <c r="G47">
        <v>75</v>
      </c>
      <c r="H47">
        <v>19</v>
      </c>
      <c r="I47">
        <v>276</v>
      </c>
      <c r="J47">
        <v>123</v>
      </c>
      <c r="K47">
        <v>269</v>
      </c>
      <c r="L47">
        <v>183</v>
      </c>
      <c r="M47">
        <v>3.0833333333333299</v>
      </c>
      <c r="N47" t="s">
        <v>18</v>
      </c>
      <c r="O47">
        <v>0</v>
      </c>
    </row>
    <row r="48" spans="1:15" x14ac:dyDescent="0.35">
      <c r="A48">
        <v>47</v>
      </c>
      <c r="B48" t="s">
        <v>26</v>
      </c>
      <c r="C48" t="s">
        <v>19</v>
      </c>
      <c r="D48" s="1">
        <v>45514</v>
      </c>
      <c r="E48" t="s">
        <v>28</v>
      </c>
      <c r="F48">
        <v>9</v>
      </c>
      <c r="G48">
        <v>217</v>
      </c>
      <c r="H48">
        <v>18</v>
      </c>
      <c r="I48">
        <v>2881</v>
      </c>
      <c r="J48">
        <v>751</v>
      </c>
      <c r="K48">
        <v>323</v>
      </c>
      <c r="L48">
        <v>447</v>
      </c>
      <c r="M48">
        <v>1.5279416869142599</v>
      </c>
      <c r="N48" t="s">
        <v>23</v>
      </c>
      <c r="O48">
        <v>0</v>
      </c>
    </row>
    <row r="49" spans="1:15" x14ac:dyDescent="0.35">
      <c r="A49">
        <v>48</v>
      </c>
      <c r="B49" t="s">
        <v>26</v>
      </c>
      <c r="C49" t="s">
        <v>19</v>
      </c>
      <c r="D49" s="1">
        <v>45389</v>
      </c>
      <c r="E49" t="s">
        <v>20</v>
      </c>
      <c r="F49">
        <v>12</v>
      </c>
      <c r="G49">
        <v>206</v>
      </c>
      <c r="H49">
        <v>13</v>
      </c>
      <c r="I49">
        <v>2136</v>
      </c>
      <c r="J49">
        <v>50</v>
      </c>
      <c r="K49">
        <v>448</v>
      </c>
      <c r="L49">
        <v>2</v>
      </c>
      <c r="M49">
        <v>1.23408239700374</v>
      </c>
      <c r="N49" t="s">
        <v>23</v>
      </c>
      <c r="O49">
        <v>0</v>
      </c>
    </row>
    <row r="50" spans="1:15" x14ac:dyDescent="0.35">
      <c r="A50">
        <v>49</v>
      </c>
      <c r="B50" t="s">
        <v>15</v>
      </c>
      <c r="C50" t="s">
        <v>19</v>
      </c>
      <c r="D50" s="1">
        <v>45327</v>
      </c>
      <c r="E50" t="s">
        <v>29</v>
      </c>
      <c r="F50">
        <v>15</v>
      </c>
      <c r="G50">
        <v>279</v>
      </c>
      <c r="H50">
        <v>9</v>
      </c>
      <c r="I50">
        <v>2754</v>
      </c>
      <c r="J50">
        <v>643</v>
      </c>
      <c r="K50">
        <v>323</v>
      </c>
      <c r="L50">
        <v>680</v>
      </c>
      <c r="M50">
        <v>1.5976761074800201</v>
      </c>
      <c r="N50" t="s">
        <v>23</v>
      </c>
      <c r="O50">
        <v>0</v>
      </c>
    </row>
    <row r="51" spans="1:15" x14ac:dyDescent="0.35">
      <c r="A51">
        <v>50</v>
      </c>
      <c r="B51" t="s">
        <v>15</v>
      </c>
      <c r="C51" t="s">
        <v>16</v>
      </c>
      <c r="D51" s="1">
        <v>45501</v>
      </c>
      <c r="E51" t="s">
        <v>20</v>
      </c>
      <c r="F51">
        <v>19</v>
      </c>
      <c r="G51">
        <v>214</v>
      </c>
      <c r="H51">
        <v>5</v>
      </c>
      <c r="I51">
        <v>2722</v>
      </c>
      <c r="J51">
        <v>417</v>
      </c>
      <c r="K51">
        <v>304</v>
      </c>
      <c r="L51">
        <v>568</v>
      </c>
      <c r="M51">
        <v>1.4735488611315199</v>
      </c>
      <c r="N51" t="s">
        <v>23</v>
      </c>
      <c r="O51">
        <v>0</v>
      </c>
    </row>
    <row r="52" spans="1:15" x14ac:dyDescent="0.35">
      <c r="A52">
        <v>51</v>
      </c>
      <c r="B52" t="s">
        <v>22</v>
      </c>
      <c r="C52" t="s">
        <v>24</v>
      </c>
      <c r="D52" s="1">
        <v>45583</v>
      </c>
      <c r="E52" t="s">
        <v>30</v>
      </c>
      <c r="F52">
        <v>12</v>
      </c>
      <c r="G52">
        <v>240</v>
      </c>
      <c r="H52">
        <v>18</v>
      </c>
      <c r="I52">
        <v>2515</v>
      </c>
      <c r="J52">
        <v>420</v>
      </c>
      <c r="K52">
        <v>563</v>
      </c>
      <c r="L52">
        <v>1</v>
      </c>
      <c r="M52">
        <v>1.3912524850894601</v>
      </c>
      <c r="N52" t="s">
        <v>23</v>
      </c>
      <c r="O52">
        <v>0</v>
      </c>
    </row>
    <row r="53" spans="1:15" x14ac:dyDescent="0.35">
      <c r="A53">
        <v>52</v>
      </c>
      <c r="B53" t="s">
        <v>15</v>
      </c>
      <c r="C53" t="s">
        <v>19</v>
      </c>
      <c r="D53" s="1">
        <v>45456</v>
      </c>
      <c r="E53" t="s">
        <v>27</v>
      </c>
      <c r="F53">
        <v>21</v>
      </c>
      <c r="G53">
        <v>106</v>
      </c>
      <c r="H53">
        <v>2</v>
      </c>
      <c r="I53">
        <v>3859</v>
      </c>
      <c r="J53">
        <v>457</v>
      </c>
      <c r="K53">
        <v>454</v>
      </c>
      <c r="L53">
        <v>692</v>
      </c>
      <c r="M53">
        <v>1.4153925887535601</v>
      </c>
      <c r="N53" t="s">
        <v>23</v>
      </c>
      <c r="O53">
        <v>0</v>
      </c>
    </row>
    <row r="54" spans="1:15" x14ac:dyDescent="0.35">
      <c r="A54">
        <v>53</v>
      </c>
      <c r="B54" t="s">
        <v>15</v>
      </c>
      <c r="C54" t="s">
        <v>19</v>
      </c>
      <c r="D54" s="1">
        <v>45437</v>
      </c>
      <c r="E54" t="s">
        <v>28</v>
      </c>
      <c r="F54">
        <v>15</v>
      </c>
      <c r="G54">
        <v>135</v>
      </c>
      <c r="H54">
        <v>6</v>
      </c>
      <c r="I54">
        <v>4272</v>
      </c>
      <c r="J54">
        <v>684</v>
      </c>
      <c r="K54">
        <v>345</v>
      </c>
      <c r="L54">
        <v>96</v>
      </c>
      <c r="M54">
        <v>1.2633426966292101</v>
      </c>
      <c r="N54" t="s">
        <v>23</v>
      </c>
      <c r="O54">
        <v>0</v>
      </c>
    </row>
    <row r="55" spans="1:15" x14ac:dyDescent="0.35">
      <c r="A55">
        <v>54</v>
      </c>
      <c r="B55" t="s">
        <v>26</v>
      </c>
      <c r="C55" t="s">
        <v>16</v>
      </c>
      <c r="D55" s="1">
        <v>45367</v>
      </c>
      <c r="E55" t="s">
        <v>28</v>
      </c>
      <c r="F55">
        <v>20</v>
      </c>
      <c r="G55">
        <v>232</v>
      </c>
      <c r="H55">
        <v>20</v>
      </c>
      <c r="I55">
        <v>250</v>
      </c>
      <c r="J55">
        <v>52</v>
      </c>
      <c r="K55">
        <v>252</v>
      </c>
      <c r="L55">
        <v>487</v>
      </c>
      <c r="M55">
        <v>4.1639999999999997</v>
      </c>
      <c r="N55" t="s">
        <v>18</v>
      </c>
      <c r="O55">
        <v>0</v>
      </c>
    </row>
    <row r="56" spans="1:15" x14ac:dyDescent="0.35">
      <c r="A56">
        <v>55</v>
      </c>
      <c r="B56" t="s">
        <v>22</v>
      </c>
      <c r="C56" t="s">
        <v>16</v>
      </c>
      <c r="D56" s="1">
        <v>45586</v>
      </c>
      <c r="E56" t="s">
        <v>29</v>
      </c>
      <c r="F56">
        <v>10</v>
      </c>
      <c r="G56">
        <v>22</v>
      </c>
      <c r="H56">
        <v>3</v>
      </c>
      <c r="I56">
        <v>1642</v>
      </c>
      <c r="J56">
        <v>740</v>
      </c>
      <c r="K56">
        <v>395</v>
      </c>
      <c r="L56">
        <v>507</v>
      </c>
      <c r="M56">
        <v>2</v>
      </c>
      <c r="N56" t="s">
        <v>21</v>
      </c>
      <c r="O56">
        <v>0</v>
      </c>
    </row>
    <row r="57" spans="1:15" x14ac:dyDescent="0.35">
      <c r="A57">
        <v>56</v>
      </c>
      <c r="B57" t="s">
        <v>15</v>
      </c>
      <c r="C57" t="s">
        <v>19</v>
      </c>
      <c r="D57" s="1">
        <v>45509</v>
      </c>
      <c r="E57" t="s">
        <v>29</v>
      </c>
      <c r="F57">
        <v>13</v>
      </c>
      <c r="G57">
        <v>82</v>
      </c>
      <c r="H57">
        <v>14</v>
      </c>
      <c r="I57">
        <v>1842</v>
      </c>
      <c r="J57">
        <v>185</v>
      </c>
      <c r="K57">
        <v>532</v>
      </c>
      <c r="L57">
        <v>476</v>
      </c>
      <c r="M57">
        <v>1.64766558089033</v>
      </c>
      <c r="N57" t="s">
        <v>21</v>
      </c>
      <c r="O57">
        <v>0</v>
      </c>
    </row>
    <row r="58" spans="1:15" x14ac:dyDescent="0.35">
      <c r="A58">
        <v>57</v>
      </c>
      <c r="B58" t="s">
        <v>26</v>
      </c>
      <c r="C58" t="s">
        <v>24</v>
      </c>
      <c r="D58" s="1">
        <v>45360</v>
      </c>
      <c r="E58" t="s">
        <v>28</v>
      </c>
      <c r="F58">
        <v>20</v>
      </c>
      <c r="G58">
        <v>278</v>
      </c>
      <c r="H58">
        <v>13</v>
      </c>
      <c r="I58">
        <v>3856</v>
      </c>
      <c r="J58">
        <v>688</v>
      </c>
      <c r="K58">
        <v>545</v>
      </c>
      <c r="L58">
        <v>573</v>
      </c>
      <c r="M58">
        <v>1.4683609958506201</v>
      </c>
      <c r="N58" t="s">
        <v>23</v>
      </c>
      <c r="O58">
        <v>0</v>
      </c>
    </row>
    <row r="59" spans="1:15" x14ac:dyDescent="0.35">
      <c r="A59">
        <v>58</v>
      </c>
      <c r="B59" t="s">
        <v>22</v>
      </c>
      <c r="C59" t="s">
        <v>16</v>
      </c>
      <c r="D59" s="1">
        <v>45572</v>
      </c>
      <c r="E59" t="s">
        <v>29</v>
      </c>
      <c r="F59">
        <v>14</v>
      </c>
      <c r="G59">
        <v>286</v>
      </c>
      <c r="H59">
        <v>15</v>
      </c>
      <c r="I59">
        <v>3702</v>
      </c>
      <c r="J59">
        <v>167</v>
      </c>
      <c r="K59">
        <v>488</v>
      </c>
      <c r="L59">
        <v>461</v>
      </c>
      <c r="M59">
        <v>1.30145867098865</v>
      </c>
      <c r="N59" t="s">
        <v>23</v>
      </c>
      <c r="O59">
        <v>0</v>
      </c>
    </row>
    <row r="60" spans="1:15" x14ac:dyDescent="0.35">
      <c r="A60">
        <v>59</v>
      </c>
      <c r="B60" t="s">
        <v>15</v>
      </c>
      <c r="C60" t="s">
        <v>24</v>
      </c>
      <c r="D60" s="1">
        <v>45414</v>
      </c>
      <c r="E60" t="s">
        <v>27</v>
      </c>
      <c r="F60">
        <v>16</v>
      </c>
      <c r="G60">
        <v>183</v>
      </c>
      <c r="H60">
        <v>17</v>
      </c>
      <c r="I60">
        <v>2299</v>
      </c>
      <c r="J60">
        <v>455</v>
      </c>
      <c r="K60">
        <v>81</v>
      </c>
      <c r="L60">
        <v>293</v>
      </c>
      <c r="M60">
        <v>1.36059156154849</v>
      </c>
      <c r="N60" t="s">
        <v>23</v>
      </c>
      <c r="O60">
        <v>0</v>
      </c>
    </row>
    <row r="61" spans="1:15" x14ac:dyDescent="0.35">
      <c r="A61">
        <v>60</v>
      </c>
      <c r="B61" t="s">
        <v>26</v>
      </c>
      <c r="C61" t="s">
        <v>16</v>
      </c>
      <c r="D61" s="1">
        <v>45333</v>
      </c>
      <c r="E61" t="s">
        <v>20</v>
      </c>
      <c r="F61">
        <v>12</v>
      </c>
      <c r="G61">
        <v>52</v>
      </c>
      <c r="H61">
        <v>13</v>
      </c>
      <c r="I61">
        <v>1183</v>
      </c>
      <c r="J61">
        <v>159</v>
      </c>
      <c r="K61">
        <v>238</v>
      </c>
      <c r="L61">
        <v>393</v>
      </c>
      <c r="M61">
        <v>1.6677937447168201</v>
      </c>
      <c r="N61" t="s">
        <v>21</v>
      </c>
      <c r="O61">
        <v>0</v>
      </c>
    </row>
    <row r="62" spans="1:15" x14ac:dyDescent="0.35">
      <c r="A62">
        <v>61</v>
      </c>
      <c r="B62" t="s">
        <v>15</v>
      </c>
      <c r="C62" t="s">
        <v>16</v>
      </c>
      <c r="D62" s="1">
        <v>45500</v>
      </c>
      <c r="E62" t="s">
        <v>28</v>
      </c>
      <c r="F62">
        <v>19</v>
      </c>
      <c r="G62">
        <v>219</v>
      </c>
      <c r="H62">
        <v>18</v>
      </c>
      <c r="I62">
        <v>2760</v>
      </c>
      <c r="J62">
        <v>560</v>
      </c>
      <c r="K62">
        <v>479</v>
      </c>
      <c r="L62">
        <v>426</v>
      </c>
      <c r="M62">
        <v>1.5307971014492701</v>
      </c>
      <c r="N62" t="s">
        <v>23</v>
      </c>
      <c r="O62">
        <v>0</v>
      </c>
    </row>
    <row r="63" spans="1:15" x14ac:dyDescent="0.35">
      <c r="A63">
        <v>62</v>
      </c>
      <c r="B63" t="s">
        <v>22</v>
      </c>
      <c r="C63" t="s">
        <v>24</v>
      </c>
      <c r="D63" s="1">
        <v>45302</v>
      </c>
      <c r="E63" t="s">
        <v>27</v>
      </c>
      <c r="F63">
        <v>18</v>
      </c>
      <c r="G63">
        <v>234</v>
      </c>
      <c r="H63">
        <v>17</v>
      </c>
      <c r="I63">
        <v>4766</v>
      </c>
      <c r="J63">
        <v>394</v>
      </c>
      <c r="K63">
        <v>490</v>
      </c>
      <c r="L63">
        <v>7</v>
      </c>
      <c r="M63">
        <v>1.18694922366764</v>
      </c>
      <c r="N63" t="s">
        <v>23</v>
      </c>
      <c r="O63">
        <v>0</v>
      </c>
    </row>
    <row r="64" spans="1:15" x14ac:dyDescent="0.35">
      <c r="A64">
        <v>63</v>
      </c>
      <c r="B64" t="s">
        <v>22</v>
      </c>
      <c r="C64" t="s">
        <v>24</v>
      </c>
      <c r="D64" s="1">
        <v>45571</v>
      </c>
      <c r="E64" t="s">
        <v>20</v>
      </c>
      <c r="F64">
        <v>21</v>
      </c>
      <c r="G64">
        <v>34</v>
      </c>
      <c r="H64">
        <v>12</v>
      </c>
      <c r="I64">
        <v>4991</v>
      </c>
      <c r="J64">
        <v>230</v>
      </c>
      <c r="K64">
        <v>501</v>
      </c>
      <c r="L64">
        <v>225</v>
      </c>
      <c r="M64">
        <v>1.1915447806050801</v>
      </c>
      <c r="N64" t="s">
        <v>23</v>
      </c>
      <c r="O64">
        <v>0</v>
      </c>
    </row>
    <row r="65" spans="1:15" x14ac:dyDescent="0.35">
      <c r="A65">
        <v>64</v>
      </c>
      <c r="B65" t="s">
        <v>15</v>
      </c>
      <c r="C65" t="s">
        <v>19</v>
      </c>
      <c r="D65" s="1">
        <v>45464</v>
      </c>
      <c r="E65" t="s">
        <v>30</v>
      </c>
      <c r="F65">
        <v>23</v>
      </c>
      <c r="G65">
        <v>33</v>
      </c>
      <c r="H65">
        <v>12</v>
      </c>
      <c r="I65">
        <v>3362</v>
      </c>
      <c r="J65">
        <v>746</v>
      </c>
      <c r="K65">
        <v>171</v>
      </c>
      <c r="L65">
        <v>479</v>
      </c>
      <c r="M65">
        <v>1.41522903033908</v>
      </c>
      <c r="N65" t="s">
        <v>23</v>
      </c>
      <c r="O65">
        <v>0</v>
      </c>
    </row>
    <row r="66" spans="1:15" x14ac:dyDescent="0.35">
      <c r="A66">
        <v>65</v>
      </c>
      <c r="B66" t="s">
        <v>22</v>
      </c>
      <c r="C66" t="s">
        <v>16</v>
      </c>
      <c r="D66" s="1">
        <v>45580</v>
      </c>
      <c r="E66" t="s">
        <v>17</v>
      </c>
      <c r="F66">
        <v>7</v>
      </c>
      <c r="G66">
        <v>153</v>
      </c>
      <c r="H66">
        <v>12</v>
      </c>
      <c r="I66">
        <v>272</v>
      </c>
      <c r="J66">
        <v>90</v>
      </c>
      <c r="K66">
        <v>440</v>
      </c>
      <c r="L66">
        <v>139</v>
      </c>
      <c r="M66">
        <v>3.4595588235294099</v>
      </c>
      <c r="N66" t="s">
        <v>18</v>
      </c>
      <c r="O66">
        <v>0</v>
      </c>
    </row>
    <row r="67" spans="1:15" x14ac:dyDescent="0.35">
      <c r="A67">
        <v>66</v>
      </c>
      <c r="B67" t="s">
        <v>22</v>
      </c>
      <c r="C67" t="s">
        <v>24</v>
      </c>
      <c r="D67" s="1">
        <v>45459</v>
      </c>
      <c r="E67" t="s">
        <v>20</v>
      </c>
      <c r="F67">
        <v>19</v>
      </c>
      <c r="G67">
        <v>149</v>
      </c>
      <c r="H67">
        <v>2</v>
      </c>
      <c r="I67">
        <v>1783</v>
      </c>
      <c r="J67">
        <v>470</v>
      </c>
      <c r="K67">
        <v>336</v>
      </c>
      <c r="L67">
        <v>346</v>
      </c>
      <c r="M67">
        <v>1.6461020751542299</v>
      </c>
      <c r="N67" t="s">
        <v>21</v>
      </c>
      <c r="O67">
        <v>0</v>
      </c>
    </row>
    <row r="68" spans="1:15" x14ac:dyDescent="0.35">
      <c r="A68">
        <v>67</v>
      </c>
      <c r="B68" t="s">
        <v>22</v>
      </c>
      <c r="C68" t="s">
        <v>16</v>
      </c>
      <c r="D68" s="1">
        <v>45532</v>
      </c>
      <c r="E68" t="s">
        <v>25</v>
      </c>
      <c r="F68">
        <v>8</v>
      </c>
      <c r="G68">
        <v>40</v>
      </c>
      <c r="H68">
        <v>0</v>
      </c>
      <c r="I68">
        <v>208</v>
      </c>
      <c r="J68">
        <v>772</v>
      </c>
      <c r="K68">
        <v>554</v>
      </c>
      <c r="L68">
        <v>54</v>
      </c>
      <c r="M68">
        <v>7.6346153846153797</v>
      </c>
      <c r="N68" t="s">
        <v>18</v>
      </c>
      <c r="O68">
        <v>1</v>
      </c>
    </row>
    <row r="69" spans="1:15" x14ac:dyDescent="0.35">
      <c r="A69">
        <v>68</v>
      </c>
      <c r="B69" t="s">
        <v>15</v>
      </c>
      <c r="C69" t="s">
        <v>24</v>
      </c>
      <c r="D69" s="1">
        <v>45418</v>
      </c>
      <c r="E69" t="s">
        <v>29</v>
      </c>
      <c r="F69">
        <v>9</v>
      </c>
      <c r="G69">
        <v>131</v>
      </c>
      <c r="H69">
        <v>14</v>
      </c>
      <c r="I69">
        <v>1683</v>
      </c>
      <c r="J69">
        <v>25</v>
      </c>
      <c r="K69">
        <v>158</v>
      </c>
      <c r="L69">
        <v>245</v>
      </c>
      <c r="M69">
        <v>1.25430778371954</v>
      </c>
      <c r="N69" t="s">
        <v>23</v>
      </c>
      <c r="O69">
        <v>0</v>
      </c>
    </row>
    <row r="70" spans="1:15" x14ac:dyDescent="0.35">
      <c r="A70">
        <v>69</v>
      </c>
      <c r="B70" t="s">
        <v>22</v>
      </c>
      <c r="C70" t="s">
        <v>16</v>
      </c>
      <c r="D70" s="1">
        <v>45423</v>
      </c>
      <c r="E70" t="s">
        <v>28</v>
      </c>
      <c r="F70">
        <v>6</v>
      </c>
      <c r="G70">
        <v>179</v>
      </c>
      <c r="H70">
        <v>18</v>
      </c>
      <c r="I70">
        <v>3071</v>
      </c>
      <c r="J70">
        <v>176</v>
      </c>
      <c r="K70">
        <v>119</v>
      </c>
      <c r="L70">
        <v>168</v>
      </c>
      <c r="M70">
        <v>1.1507652230543699</v>
      </c>
      <c r="N70" t="s">
        <v>23</v>
      </c>
      <c r="O70">
        <v>0</v>
      </c>
    </row>
    <row r="71" spans="1:15" x14ac:dyDescent="0.35">
      <c r="A71">
        <v>70</v>
      </c>
      <c r="B71" t="s">
        <v>26</v>
      </c>
      <c r="C71" t="s">
        <v>19</v>
      </c>
      <c r="D71" s="1">
        <v>45484</v>
      </c>
      <c r="E71" t="s">
        <v>27</v>
      </c>
      <c r="F71">
        <v>13</v>
      </c>
      <c r="G71">
        <v>72</v>
      </c>
      <c r="H71">
        <v>9</v>
      </c>
      <c r="I71">
        <v>3299</v>
      </c>
      <c r="J71">
        <v>737</v>
      </c>
      <c r="K71">
        <v>205</v>
      </c>
      <c r="L71">
        <v>78</v>
      </c>
      <c r="M71">
        <v>1.30918460139436</v>
      </c>
      <c r="N71" t="s">
        <v>23</v>
      </c>
      <c r="O71">
        <v>0</v>
      </c>
    </row>
    <row r="72" spans="1:15" x14ac:dyDescent="0.35">
      <c r="A72">
        <v>71</v>
      </c>
      <c r="B72" t="s">
        <v>22</v>
      </c>
      <c r="C72" t="s">
        <v>19</v>
      </c>
      <c r="D72" s="1">
        <v>45353</v>
      </c>
      <c r="E72" t="s">
        <v>28</v>
      </c>
      <c r="F72">
        <v>17</v>
      </c>
      <c r="G72">
        <v>55</v>
      </c>
      <c r="H72">
        <v>16</v>
      </c>
      <c r="I72">
        <v>4686</v>
      </c>
      <c r="J72">
        <v>47</v>
      </c>
      <c r="K72">
        <v>357</v>
      </c>
      <c r="L72">
        <v>546</v>
      </c>
      <c r="M72">
        <v>1.2027315407596999</v>
      </c>
      <c r="N72" t="s">
        <v>23</v>
      </c>
      <c r="O72">
        <v>0</v>
      </c>
    </row>
    <row r="73" spans="1:15" x14ac:dyDescent="0.35">
      <c r="A73">
        <v>72</v>
      </c>
      <c r="B73" t="s">
        <v>22</v>
      </c>
      <c r="C73" t="s">
        <v>24</v>
      </c>
      <c r="D73" s="1">
        <v>45466</v>
      </c>
      <c r="E73" t="s">
        <v>20</v>
      </c>
      <c r="F73">
        <v>20</v>
      </c>
      <c r="G73">
        <v>98</v>
      </c>
      <c r="H73">
        <v>13</v>
      </c>
      <c r="I73">
        <v>153</v>
      </c>
      <c r="J73">
        <v>435</v>
      </c>
      <c r="K73">
        <v>503</v>
      </c>
      <c r="L73">
        <v>109</v>
      </c>
      <c r="M73">
        <v>7.8431372549019596</v>
      </c>
      <c r="N73" t="s">
        <v>18</v>
      </c>
      <c r="O73">
        <v>0</v>
      </c>
    </row>
    <row r="74" spans="1:15" x14ac:dyDescent="0.35">
      <c r="A74">
        <v>73</v>
      </c>
      <c r="B74" t="s">
        <v>26</v>
      </c>
      <c r="C74" t="s">
        <v>24</v>
      </c>
      <c r="D74" s="1">
        <v>45382</v>
      </c>
      <c r="E74" t="s">
        <v>20</v>
      </c>
      <c r="F74">
        <v>20</v>
      </c>
      <c r="G74">
        <v>243</v>
      </c>
      <c r="H74">
        <v>18</v>
      </c>
      <c r="I74">
        <v>4324</v>
      </c>
      <c r="J74">
        <v>671</v>
      </c>
      <c r="K74">
        <v>278</v>
      </c>
      <c r="L74">
        <v>631</v>
      </c>
      <c r="M74">
        <v>1.3654024051803799</v>
      </c>
      <c r="N74" t="s">
        <v>23</v>
      </c>
      <c r="O74">
        <v>0</v>
      </c>
    </row>
    <row r="75" spans="1:15" x14ac:dyDescent="0.35">
      <c r="A75">
        <v>74</v>
      </c>
      <c r="B75" t="s">
        <v>22</v>
      </c>
      <c r="C75" t="s">
        <v>16</v>
      </c>
      <c r="D75" s="1">
        <v>45429</v>
      </c>
      <c r="E75" t="s">
        <v>30</v>
      </c>
      <c r="F75">
        <v>20</v>
      </c>
      <c r="G75">
        <v>214</v>
      </c>
      <c r="H75">
        <v>10</v>
      </c>
      <c r="I75">
        <v>2690</v>
      </c>
      <c r="J75">
        <v>256</v>
      </c>
      <c r="K75">
        <v>90</v>
      </c>
      <c r="L75">
        <v>286</v>
      </c>
      <c r="M75">
        <v>1.2349442379182101</v>
      </c>
      <c r="N75" t="s">
        <v>23</v>
      </c>
      <c r="O75">
        <v>0</v>
      </c>
    </row>
    <row r="76" spans="1:15" x14ac:dyDescent="0.35">
      <c r="A76">
        <v>75</v>
      </c>
      <c r="B76" t="s">
        <v>15</v>
      </c>
      <c r="C76" t="s">
        <v>24</v>
      </c>
      <c r="D76" s="1">
        <v>45306</v>
      </c>
      <c r="E76" t="s">
        <v>29</v>
      </c>
      <c r="F76">
        <v>14</v>
      </c>
      <c r="G76">
        <v>194</v>
      </c>
      <c r="H76">
        <v>8</v>
      </c>
      <c r="I76">
        <v>4099</v>
      </c>
      <c r="J76">
        <v>337</v>
      </c>
      <c r="K76">
        <v>188</v>
      </c>
      <c r="L76">
        <v>500</v>
      </c>
      <c r="M76">
        <v>1.25006099048548</v>
      </c>
      <c r="N76" t="s">
        <v>23</v>
      </c>
      <c r="O76">
        <v>0</v>
      </c>
    </row>
    <row r="77" spans="1:15" x14ac:dyDescent="0.35">
      <c r="A77">
        <v>76</v>
      </c>
      <c r="B77" t="s">
        <v>15</v>
      </c>
      <c r="C77" t="s">
        <v>16</v>
      </c>
      <c r="D77" s="1">
        <v>45433</v>
      </c>
      <c r="E77" t="s">
        <v>17</v>
      </c>
      <c r="F77">
        <v>19</v>
      </c>
      <c r="G77">
        <v>270</v>
      </c>
      <c r="H77">
        <v>17</v>
      </c>
      <c r="I77">
        <v>4603</v>
      </c>
      <c r="J77">
        <v>15</v>
      </c>
      <c r="K77">
        <v>531</v>
      </c>
      <c r="L77">
        <v>196</v>
      </c>
      <c r="M77">
        <v>1.1611992179013599</v>
      </c>
      <c r="N77" t="s">
        <v>23</v>
      </c>
      <c r="O77">
        <v>0</v>
      </c>
    </row>
    <row r="78" spans="1:15" x14ac:dyDescent="0.35">
      <c r="A78">
        <v>77</v>
      </c>
      <c r="B78" t="s">
        <v>15</v>
      </c>
      <c r="C78" t="s">
        <v>16</v>
      </c>
      <c r="D78" s="1">
        <v>45415</v>
      </c>
      <c r="E78" t="s">
        <v>30</v>
      </c>
      <c r="F78">
        <v>15</v>
      </c>
      <c r="G78">
        <v>133</v>
      </c>
      <c r="H78">
        <v>12</v>
      </c>
      <c r="I78">
        <v>3950</v>
      </c>
      <c r="J78">
        <v>666</v>
      </c>
      <c r="K78">
        <v>504</v>
      </c>
      <c r="L78">
        <v>459</v>
      </c>
      <c r="M78">
        <v>1.41240506329113</v>
      </c>
      <c r="N78" t="s">
        <v>23</v>
      </c>
      <c r="O78">
        <v>0</v>
      </c>
    </row>
    <row r="79" spans="1:15" x14ac:dyDescent="0.35">
      <c r="A79">
        <v>78</v>
      </c>
      <c r="B79" t="s">
        <v>22</v>
      </c>
      <c r="C79" t="s">
        <v>19</v>
      </c>
      <c r="D79" s="1">
        <v>45416</v>
      </c>
      <c r="E79" t="s">
        <v>28</v>
      </c>
      <c r="F79">
        <v>22</v>
      </c>
      <c r="G79">
        <v>196</v>
      </c>
      <c r="H79">
        <v>13</v>
      </c>
      <c r="I79">
        <v>2558</v>
      </c>
      <c r="J79">
        <v>684</v>
      </c>
      <c r="K79">
        <v>597</v>
      </c>
      <c r="L79">
        <v>378</v>
      </c>
      <c r="M79">
        <v>1.64855355746677</v>
      </c>
      <c r="N79" t="s">
        <v>21</v>
      </c>
      <c r="O79">
        <v>0</v>
      </c>
    </row>
    <row r="80" spans="1:15" x14ac:dyDescent="0.35">
      <c r="A80">
        <v>79</v>
      </c>
      <c r="B80" t="s">
        <v>22</v>
      </c>
      <c r="C80" t="s">
        <v>24</v>
      </c>
      <c r="D80" s="1">
        <v>45573</v>
      </c>
      <c r="E80" t="s">
        <v>17</v>
      </c>
      <c r="F80">
        <v>13</v>
      </c>
      <c r="G80">
        <v>81</v>
      </c>
      <c r="H80">
        <v>6</v>
      </c>
      <c r="I80">
        <v>2759</v>
      </c>
      <c r="J80">
        <v>365</v>
      </c>
      <c r="K80">
        <v>466</v>
      </c>
      <c r="L80">
        <v>278</v>
      </c>
      <c r="M80">
        <v>1.40195723088075</v>
      </c>
      <c r="N80" t="s">
        <v>23</v>
      </c>
      <c r="O80">
        <v>0</v>
      </c>
    </row>
    <row r="81" spans="1:15" x14ac:dyDescent="0.35">
      <c r="A81">
        <v>80</v>
      </c>
      <c r="B81" t="s">
        <v>15</v>
      </c>
      <c r="C81" t="s">
        <v>16</v>
      </c>
      <c r="D81" s="1">
        <v>45453</v>
      </c>
      <c r="E81" t="s">
        <v>29</v>
      </c>
      <c r="F81">
        <v>21</v>
      </c>
      <c r="G81">
        <v>161</v>
      </c>
      <c r="H81">
        <v>18</v>
      </c>
      <c r="I81">
        <v>1029</v>
      </c>
      <c r="J81">
        <v>765</v>
      </c>
      <c r="K81">
        <v>550</v>
      </c>
      <c r="L81">
        <v>190</v>
      </c>
      <c r="M81">
        <v>2.4625850340136002</v>
      </c>
      <c r="N81" t="s">
        <v>18</v>
      </c>
      <c r="O81">
        <v>1</v>
      </c>
    </row>
    <row r="82" spans="1:15" x14ac:dyDescent="0.35">
      <c r="A82">
        <v>81</v>
      </c>
      <c r="B82" t="s">
        <v>22</v>
      </c>
      <c r="C82" t="s">
        <v>16</v>
      </c>
      <c r="D82" s="1">
        <v>45560</v>
      </c>
      <c r="E82" t="s">
        <v>25</v>
      </c>
      <c r="F82">
        <v>17</v>
      </c>
      <c r="G82">
        <v>111</v>
      </c>
      <c r="H82">
        <v>9</v>
      </c>
      <c r="I82">
        <v>4938</v>
      </c>
      <c r="J82">
        <v>294</v>
      </c>
      <c r="K82">
        <v>104</v>
      </c>
      <c r="L82">
        <v>199</v>
      </c>
      <c r="M82">
        <v>1.1208991494532199</v>
      </c>
      <c r="N82" t="s">
        <v>23</v>
      </c>
      <c r="O82">
        <v>0</v>
      </c>
    </row>
    <row r="83" spans="1:15" x14ac:dyDescent="0.35">
      <c r="A83">
        <v>82</v>
      </c>
      <c r="B83" t="s">
        <v>15</v>
      </c>
      <c r="C83" t="s">
        <v>19</v>
      </c>
      <c r="D83" s="1">
        <v>45299</v>
      </c>
      <c r="E83" t="s">
        <v>29</v>
      </c>
      <c r="F83">
        <v>15</v>
      </c>
      <c r="G83">
        <v>84</v>
      </c>
      <c r="H83">
        <v>20</v>
      </c>
      <c r="I83">
        <v>4425</v>
      </c>
      <c r="J83">
        <v>134</v>
      </c>
      <c r="K83">
        <v>282</v>
      </c>
      <c r="L83">
        <v>47</v>
      </c>
      <c r="M83">
        <v>1.10463276836158</v>
      </c>
      <c r="N83" t="s">
        <v>23</v>
      </c>
      <c r="O83">
        <v>0</v>
      </c>
    </row>
    <row r="84" spans="1:15" x14ac:dyDescent="0.35">
      <c r="A84">
        <v>83</v>
      </c>
      <c r="B84" t="s">
        <v>22</v>
      </c>
      <c r="C84" t="s">
        <v>24</v>
      </c>
      <c r="D84" s="1">
        <v>45543</v>
      </c>
      <c r="E84" t="s">
        <v>20</v>
      </c>
      <c r="F84">
        <v>20</v>
      </c>
      <c r="G84">
        <v>194</v>
      </c>
      <c r="H84">
        <v>5</v>
      </c>
      <c r="I84">
        <v>890</v>
      </c>
      <c r="J84">
        <v>17</v>
      </c>
      <c r="K84">
        <v>589</v>
      </c>
      <c r="L84">
        <v>292</v>
      </c>
      <c r="M84">
        <v>2.0089887640449402</v>
      </c>
      <c r="N84" t="s">
        <v>21</v>
      </c>
      <c r="O84">
        <v>1</v>
      </c>
    </row>
    <row r="85" spans="1:15" x14ac:dyDescent="0.35">
      <c r="A85">
        <v>84</v>
      </c>
      <c r="B85" t="s">
        <v>22</v>
      </c>
      <c r="C85" t="s">
        <v>24</v>
      </c>
      <c r="D85" s="1">
        <v>45318</v>
      </c>
      <c r="E85" t="s">
        <v>28</v>
      </c>
      <c r="F85">
        <v>8</v>
      </c>
      <c r="G85">
        <v>47</v>
      </c>
      <c r="H85">
        <v>4</v>
      </c>
      <c r="I85">
        <v>2118</v>
      </c>
      <c r="J85">
        <v>494</v>
      </c>
      <c r="K85">
        <v>118</v>
      </c>
      <c r="L85">
        <v>67</v>
      </c>
      <c r="M85">
        <v>1.32058545797922</v>
      </c>
      <c r="N85" t="s">
        <v>23</v>
      </c>
      <c r="O85">
        <v>0</v>
      </c>
    </row>
    <row r="86" spans="1:15" x14ac:dyDescent="0.35">
      <c r="A86">
        <v>85</v>
      </c>
      <c r="B86" t="s">
        <v>15</v>
      </c>
      <c r="C86" t="s">
        <v>19</v>
      </c>
      <c r="D86" s="1">
        <v>45368</v>
      </c>
      <c r="E86" t="s">
        <v>20</v>
      </c>
      <c r="F86">
        <v>19</v>
      </c>
      <c r="G86">
        <v>135</v>
      </c>
      <c r="H86">
        <v>16</v>
      </c>
      <c r="I86">
        <v>4660</v>
      </c>
      <c r="J86">
        <v>316</v>
      </c>
      <c r="K86">
        <v>89</v>
      </c>
      <c r="L86">
        <v>255</v>
      </c>
      <c r="M86">
        <v>1.1416309012875501</v>
      </c>
      <c r="N86" t="s">
        <v>23</v>
      </c>
      <c r="O86">
        <v>0</v>
      </c>
    </row>
    <row r="87" spans="1:15" x14ac:dyDescent="0.35">
      <c r="A87">
        <v>86</v>
      </c>
      <c r="B87" t="s">
        <v>22</v>
      </c>
      <c r="C87" t="s">
        <v>24</v>
      </c>
      <c r="D87" s="1">
        <v>45486</v>
      </c>
      <c r="E87" t="s">
        <v>28</v>
      </c>
      <c r="F87">
        <v>7</v>
      </c>
      <c r="G87">
        <v>70</v>
      </c>
      <c r="H87">
        <v>6</v>
      </c>
      <c r="I87">
        <v>3740</v>
      </c>
      <c r="J87">
        <v>458</v>
      </c>
      <c r="K87">
        <v>306</v>
      </c>
      <c r="L87">
        <v>603</v>
      </c>
      <c r="M87">
        <v>1.3655080213903701</v>
      </c>
      <c r="N87" t="s">
        <v>23</v>
      </c>
      <c r="O87">
        <v>0</v>
      </c>
    </row>
    <row r="88" spans="1:15" x14ac:dyDescent="0.35">
      <c r="A88">
        <v>87</v>
      </c>
      <c r="B88" t="s">
        <v>15</v>
      </c>
      <c r="C88" t="s">
        <v>16</v>
      </c>
      <c r="D88" s="1">
        <v>45400</v>
      </c>
      <c r="E88" t="s">
        <v>27</v>
      </c>
      <c r="F88">
        <v>23</v>
      </c>
      <c r="G88">
        <v>58</v>
      </c>
      <c r="H88">
        <v>5</v>
      </c>
      <c r="I88">
        <v>2217</v>
      </c>
      <c r="J88">
        <v>681</v>
      </c>
      <c r="K88">
        <v>85</v>
      </c>
      <c r="L88">
        <v>161</v>
      </c>
      <c r="M88">
        <v>1.4181326116373401</v>
      </c>
      <c r="N88" t="s">
        <v>23</v>
      </c>
      <c r="O88">
        <v>0</v>
      </c>
    </row>
    <row r="89" spans="1:15" x14ac:dyDescent="0.35">
      <c r="A89">
        <v>88</v>
      </c>
      <c r="B89" t="s">
        <v>15</v>
      </c>
      <c r="C89" t="s">
        <v>16</v>
      </c>
      <c r="D89" s="1">
        <v>45293</v>
      </c>
      <c r="E89" t="s">
        <v>17</v>
      </c>
      <c r="F89">
        <v>15</v>
      </c>
      <c r="G89">
        <v>164</v>
      </c>
      <c r="H89">
        <v>14</v>
      </c>
      <c r="I89">
        <v>3396</v>
      </c>
      <c r="J89">
        <v>466</v>
      </c>
      <c r="K89">
        <v>483</v>
      </c>
      <c r="L89">
        <v>299</v>
      </c>
      <c r="M89">
        <v>1.36749116607773</v>
      </c>
      <c r="N89" t="s">
        <v>23</v>
      </c>
      <c r="O89">
        <v>0</v>
      </c>
    </row>
    <row r="90" spans="1:15" x14ac:dyDescent="0.35">
      <c r="A90">
        <v>89</v>
      </c>
      <c r="B90" t="s">
        <v>15</v>
      </c>
      <c r="C90" t="s">
        <v>19</v>
      </c>
      <c r="D90" s="1">
        <v>45328</v>
      </c>
      <c r="E90" t="s">
        <v>17</v>
      </c>
      <c r="F90">
        <v>13</v>
      </c>
      <c r="G90">
        <v>96</v>
      </c>
      <c r="H90">
        <v>8</v>
      </c>
      <c r="I90">
        <v>1962</v>
      </c>
      <c r="J90">
        <v>275</v>
      </c>
      <c r="K90">
        <v>204</v>
      </c>
      <c r="L90">
        <v>436</v>
      </c>
      <c r="M90">
        <v>1.4663608562691099</v>
      </c>
      <c r="N90" t="s">
        <v>23</v>
      </c>
      <c r="O90">
        <v>0</v>
      </c>
    </row>
    <row r="91" spans="1:15" x14ac:dyDescent="0.35">
      <c r="A91">
        <v>90</v>
      </c>
      <c r="B91" t="s">
        <v>26</v>
      </c>
      <c r="C91" t="s">
        <v>19</v>
      </c>
      <c r="D91" s="1">
        <v>45364</v>
      </c>
      <c r="E91" t="s">
        <v>25</v>
      </c>
      <c r="F91">
        <v>15</v>
      </c>
      <c r="G91">
        <v>244</v>
      </c>
      <c r="H91">
        <v>3</v>
      </c>
      <c r="I91">
        <v>634</v>
      </c>
      <c r="J91">
        <v>66</v>
      </c>
      <c r="K91">
        <v>171</v>
      </c>
      <c r="L91">
        <v>315</v>
      </c>
      <c r="M91">
        <v>1.8706624605678199</v>
      </c>
      <c r="N91" t="s">
        <v>21</v>
      </c>
      <c r="O91">
        <v>0</v>
      </c>
    </row>
    <row r="92" spans="1:15" x14ac:dyDescent="0.35">
      <c r="A92">
        <v>91</v>
      </c>
      <c r="B92" t="s">
        <v>26</v>
      </c>
      <c r="C92" t="s">
        <v>19</v>
      </c>
      <c r="D92" s="1">
        <v>45531</v>
      </c>
      <c r="E92" t="s">
        <v>17</v>
      </c>
      <c r="F92">
        <v>21</v>
      </c>
      <c r="G92">
        <v>244</v>
      </c>
      <c r="H92">
        <v>2</v>
      </c>
      <c r="I92">
        <v>2541</v>
      </c>
      <c r="J92">
        <v>721</v>
      </c>
      <c r="K92">
        <v>414</v>
      </c>
      <c r="L92">
        <v>279</v>
      </c>
      <c r="M92">
        <v>1.5564738292011</v>
      </c>
      <c r="N92" t="s">
        <v>23</v>
      </c>
      <c r="O92">
        <v>0</v>
      </c>
    </row>
    <row r="93" spans="1:15" x14ac:dyDescent="0.35">
      <c r="A93">
        <v>92</v>
      </c>
      <c r="B93" t="s">
        <v>22</v>
      </c>
      <c r="C93" t="s">
        <v>16</v>
      </c>
      <c r="D93" s="1">
        <v>45312</v>
      </c>
      <c r="E93" t="s">
        <v>20</v>
      </c>
      <c r="F93">
        <v>8</v>
      </c>
      <c r="G93">
        <v>137</v>
      </c>
      <c r="H93">
        <v>18</v>
      </c>
      <c r="I93">
        <v>3589</v>
      </c>
      <c r="J93">
        <v>757</v>
      </c>
      <c r="K93">
        <v>332</v>
      </c>
      <c r="L93">
        <v>619</v>
      </c>
      <c r="M93">
        <v>1.4758985789913599</v>
      </c>
      <c r="N93" t="s">
        <v>23</v>
      </c>
      <c r="O93">
        <v>0</v>
      </c>
    </row>
    <row r="94" spans="1:15" x14ac:dyDescent="0.35">
      <c r="A94">
        <v>93</v>
      </c>
      <c r="B94" t="s">
        <v>15</v>
      </c>
      <c r="C94" t="s">
        <v>16</v>
      </c>
      <c r="D94" s="1">
        <v>45592</v>
      </c>
      <c r="E94" t="s">
        <v>20</v>
      </c>
      <c r="F94">
        <v>21</v>
      </c>
      <c r="G94">
        <v>285</v>
      </c>
      <c r="H94">
        <v>20</v>
      </c>
      <c r="I94">
        <v>219</v>
      </c>
      <c r="J94">
        <v>788</v>
      </c>
      <c r="K94">
        <v>277</v>
      </c>
      <c r="L94">
        <v>591</v>
      </c>
      <c r="M94">
        <v>8.5616438356164295</v>
      </c>
      <c r="N94" t="s">
        <v>18</v>
      </c>
      <c r="O94">
        <v>0</v>
      </c>
    </row>
    <row r="95" spans="1:15" x14ac:dyDescent="0.35">
      <c r="A95">
        <v>94</v>
      </c>
      <c r="B95" t="s">
        <v>22</v>
      </c>
      <c r="C95" t="s">
        <v>16</v>
      </c>
      <c r="D95" s="1">
        <v>45518</v>
      </c>
      <c r="E95" t="s">
        <v>25</v>
      </c>
      <c r="F95">
        <v>21</v>
      </c>
      <c r="G95">
        <v>198</v>
      </c>
      <c r="H95">
        <v>13</v>
      </c>
      <c r="I95">
        <v>2328</v>
      </c>
      <c r="J95">
        <v>190</v>
      </c>
      <c r="K95">
        <v>448</v>
      </c>
      <c r="L95">
        <v>651</v>
      </c>
      <c r="M95">
        <v>1.5536941580756001</v>
      </c>
      <c r="N95" t="s">
        <v>23</v>
      </c>
      <c r="O95">
        <v>0</v>
      </c>
    </row>
    <row r="96" spans="1:15" x14ac:dyDescent="0.35">
      <c r="A96">
        <v>95</v>
      </c>
      <c r="B96" t="s">
        <v>22</v>
      </c>
      <c r="C96" t="s">
        <v>24</v>
      </c>
      <c r="D96" s="1">
        <v>45462</v>
      </c>
      <c r="E96" t="s">
        <v>25</v>
      </c>
      <c r="F96">
        <v>21</v>
      </c>
      <c r="G96">
        <v>167</v>
      </c>
      <c r="H96">
        <v>12</v>
      </c>
      <c r="I96">
        <v>2680</v>
      </c>
      <c r="J96">
        <v>691</v>
      </c>
      <c r="K96">
        <v>109</v>
      </c>
      <c r="L96">
        <v>165</v>
      </c>
      <c r="M96">
        <v>1.36007462686567</v>
      </c>
      <c r="N96" t="s">
        <v>23</v>
      </c>
      <c r="O96">
        <v>0</v>
      </c>
    </row>
    <row r="97" spans="1:15" x14ac:dyDescent="0.35">
      <c r="A97">
        <v>96</v>
      </c>
      <c r="B97" t="s">
        <v>22</v>
      </c>
      <c r="C97" t="s">
        <v>24</v>
      </c>
      <c r="D97" s="1">
        <v>45573</v>
      </c>
      <c r="E97" t="s">
        <v>17</v>
      </c>
      <c r="F97">
        <v>9</v>
      </c>
      <c r="G97">
        <v>226</v>
      </c>
      <c r="H97">
        <v>16</v>
      </c>
      <c r="I97">
        <v>350</v>
      </c>
      <c r="J97">
        <v>470</v>
      </c>
      <c r="K97">
        <v>92</v>
      </c>
      <c r="L97">
        <v>323</v>
      </c>
      <c r="M97">
        <v>3.52857142857142</v>
      </c>
      <c r="N97" t="s">
        <v>18</v>
      </c>
      <c r="O97">
        <v>0</v>
      </c>
    </row>
    <row r="98" spans="1:15" x14ac:dyDescent="0.35">
      <c r="A98">
        <v>97</v>
      </c>
      <c r="B98" t="s">
        <v>15</v>
      </c>
      <c r="C98" t="s">
        <v>19</v>
      </c>
      <c r="D98" s="1">
        <v>45292</v>
      </c>
      <c r="E98" t="s">
        <v>29</v>
      </c>
      <c r="F98">
        <v>17</v>
      </c>
      <c r="G98">
        <v>275</v>
      </c>
      <c r="H98">
        <v>20</v>
      </c>
      <c r="I98">
        <v>4494</v>
      </c>
      <c r="J98">
        <v>478</v>
      </c>
      <c r="K98">
        <v>425</v>
      </c>
      <c r="L98">
        <v>56</v>
      </c>
      <c r="M98">
        <v>1.2133956386292799</v>
      </c>
      <c r="N98" t="s">
        <v>23</v>
      </c>
      <c r="O98">
        <v>0</v>
      </c>
    </row>
    <row r="99" spans="1:15" x14ac:dyDescent="0.35">
      <c r="A99">
        <v>98</v>
      </c>
      <c r="B99" t="s">
        <v>15</v>
      </c>
      <c r="C99" t="s">
        <v>24</v>
      </c>
      <c r="D99" s="1">
        <v>45518</v>
      </c>
      <c r="E99" t="s">
        <v>25</v>
      </c>
      <c r="F99">
        <v>20</v>
      </c>
      <c r="G99">
        <v>268</v>
      </c>
      <c r="H99">
        <v>3</v>
      </c>
      <c r="I99">
        <v>472</v>
      </c>
      <c r="J99">
        <v>213</v>
      </c>
      <c r="K99">
        <v>275</v>
      </c>
      <c r="L99">
        <v>563</v>
      </c>
      <c r="M99">
        <v>3.2266949152542299</v>
      </c>
      <c r="N99" t="s">
        <v>18</v>
      </c>
      <c r="O99">
        <v>0</v>
      </c>
    </row>
    <row r="100" spans="1:15" x14ac:dyDescent="0.35">
      <c r="A100">
        <v>99</v>
      </c>
      <c r="B100" t="s">
        <v>26</v>
      </c>
      <c r="C100" t="s">
        <v>16</v>
      </c>
      <c r="D100" s="1">
        <v>45306</v>
      </c>
      <c r="E100" t="s">
        <v>29</v>
      </c>
      <c r="F100">
        <v>23</v>
      </c>
      <c r="G100">
        <v>228</v>
      </c>
      <c r="H100">
        <v>2</v>
      </c>
      <c r="I100">
        <v>2010</v>
      </c>
      <c r="J100">
        <v>731</v>
      </c>
      <c r="K100">
        <v>164</v>
      </c>
      <c r="L100">
        <v>319</v>
      </c>
      <c r="M100">
        <v>1.60398009950248</v>
      </c>
      <c r="N100" t="s">
        <v>23</v>
      </c>
      <c r="O100">
        <v>0</v>
      </c>
    </row>
    <row r="101" spans="1:15" x14ac:dyDescent="0.35">
      <c r="A101">
        <v>100</v>
      </c>
      <c r="B101" t="s">
        <v>15</v>
      </c>
      <c r="C101" t="s">
        <v>24</v>
      </c>
      <c r="D101" s="1">
        <v>45407</v>
      </c>
      <c r="E101" t="s">
        <v>27</v>
      </c>
      <c r="F101">
        <v>15</v>
      </c>
      <c r="G101">
        <v>280</v>
      </c>
      <c r="H101">
        <v>8</v>
      </c>
      <c r="I101">
        <v>979</v>
      </c>
      <c r="J101">
        <v>477</v>
      </c>
      <c r="K101">
        <v>122</v>
      </c>
      <c r="L101">
        <v>664</v>
      </c>
      <c r="M101">
        <v>2.2900919305413598</v>
      </c>
      <c r="N101" t="s">
        <v>21</v>
      </c>
      <c r="O101">
        <v>0</v>
      </c>
    </row>
    <row r="102" spans="1:15" x14ac:dyDescent="0.35">
      <c r="A102">
        <v>101</v>
      </c>
      <c r="B102" t="s">
        <v>26</v>
      </c>
      <c r="C102" t="s">
        <v>16</v>
      </c>
      <c r="D102" s="1">
        <v>45504</v>
      </c>
      <c r="E102" t="s">
        <v>25</v>
      </c>
      <c r="F102">
        <v>18</v>
      </c>
      <c r="G102">
        <v>117</v>
      </c>
      <c r="H102">
        <v>19</v>
      </c>
      <c r="I102">
        <v>4002</v>
      </c>
      <c r="J102">
        <v>488</v>
      </c>
      <c r="K102">
        <v>251</v>
      </c>
      <c r="L102">
        <v>468</v>
      </c>
      <c r="M102">
        <v>1.3015992003998</v>
      </c>
      <c r="N102" t="s">
        <v>23</v>
      </c>
      <c r="O102">
        <v>0</v>
      </c>
    </row>
    <row r="103" spans="1:15" x14ac:dyDescent="0.35">
      <c r="A103">
        <v>102</v>
      </c>
      <c r="B103" t="s">
        <v>22</v>
      </c>
      <c r="C103" t="s">
        <v>19</v>
      </c>
      <c r="D103" s="1">
        <v>45552</v>
      </c>
      <c r="E103" t="s">
        <v>17</v>
      </c>
      <c r="F103">
        <v>14</v>
      </c>
      <c r="G103">
        <v>21</v>
      </c>
      <c r="H103">
        <v>9</v>
      </c>
      <c r="I103">
        <v>1168</v>
      </c>
      <c r="J103">
        <v>76</v>
      </c>
      <c r="K103">
        <v>284</v>
      </c>
      <c r="L103">
        <v>425</v>
      </c>
      <c r="M103">
        <v>1.67208904109589</v>
      </c>
      <c r="N103" t="s">
        <v>21</v>
      </c>
      <c r="O103">
        <v>0</v>
      </c>
    </row>
    <row r="104" spans="1:15" x14ac:dyDescent="0.35">
      <c r="A104">
        <v>103</v>
      </c>
      <c r="B104" t="s">
        <v>22</v>
      </c>
      <c r="C104" t="s">
        <v>19</v>
      </c>
      <c r="D104" s="1">
        <v>45444</v>
      </c>
      <c r="E104" t="s">
        <v>28</v>
      </c>
      <c r="F104">
        <v>21</v>
      </c>
      <c r="G104">
        <v>196</v>
      </c>
      <c r="H104">
        <v>10</v>
      </c>
      <c r="I104">
        <v>4858</v>
      </c>
      <c r="J104">
        <v>598</v>
      </c>
      <c r="K104">
        <v>503</v>
      </c>
      <c r="L104">
        <v>153</v>
      </c>
      <c r="M104">
        <v>1.25813091807328</v>
      </c>
      <c r="N104" t="s">
        <v>23</v>
      </c>
      <c r="O104">
        <v>0</v>
      </c>
    </row>
    <row r="105" spans="1:15" x14ac:dyDescent="0.35">
      <c r="A105">
        <v>104</v>
      </c>
      <c r="B105" t="s">
        <v>15</v>
      </c>
      <c r="C105" t="s">
        <v>19</v>
      </c>
      <c r="D105" s="1">
        <v>45574</v>
      </c>
      <c r="E105" t="s">
        <v>25</v>
      </c>
      <c r="F105">
        <v>13</v>
      </c>
      <c r="G105">
        <v>216</v>
      </c>
      <c r="H105">
        <v>7</v>
      </c>
      <c r="I105">
        <v>4501</v>
      </c>
      <c r="J105">
        <v>391</v>
      </c>
      <c r="K105">
        <v>468</v>
      </c>
      <c r="L105">
        <v>330</v>
      </c>
      <c r="M105">
        <v>1.2641635192179499</v>
      </c>
      <c r="N105" t="s">
        <v>23</v>
      </c>
      <c r="O105">
        <v>0</v>
      </c>
    </row>
    <row r="106" spans="1:15" x14ac:dyDescent="0.35">
      <c r="A106">
        <v>105</v>
      </c>
      <c r="B106" t="s">
        <v>22</v>
      </c>
      <c r="C106" t="s">
        <v>19</v>
      </c>
      <c r="D106" s="1">
        <v>45502</v>
      </c>
      <c r="E106" t="s">
        <v>29</v>
      </c>
      <c r="F106">
        <v>10</v>
      </c>
      <c r="G106">
        <v>273</v>
      </c>
      <c r="H106">
        <v>1</v>
      </c>
      <c r="I106">
        <v>407</v>
      </c>
      <c r="J106">
        <v>330</v>
      </c>
      <c r="K106">
        <v>486</v>
      </c>
      <c r="L106">
        <v>391</v>
      </c>
      <c r="M106">
        <v>3.9656019656019601</v>
      </c>
      <c r="N106" t="s">
        <v>18</v>
      </c>
      <c r="O106">
        <v>0</v>
      </c>
    </row>
    <row r="107" spans="1:15" x14ac:dyDescent="0.35">
      <c r="A107">
        <v>106</v>
      </c>
      <c r="B107" t="s">
        <v>22</v>
      </c>
      <c r="C107" t="s">
        <v>16</v>
      </c>
      <c r="D107" s="1">
        <v>45356</v>
      </c>
      <c r="E107" t="s">
        <v>17</v>
      </c>
      <c r="F107">
        <v>22</v>
      </c>
      <c r="G107">
        <v>253</v>
      </c>
      <c r="H107">
        <v>0</v>
      </c>
      <c r="I107">
        <v>4164</v>
      </c>
      <c r="J107">
        <v>609</v>
      </c>
      <c r="K107">
        <v>341</v>
      </c>
      <c r="L107">
        <v>103</v>
      </c>
      <c r="M107">
        <v>1.2528818443804</v>
      </c>
      <c r="N107" t="s">
        <v>23</v>
      </c>
      <c r="O107">
        <v>0</v>
      </c>
    </row>
    <row r="108" spans="1:15" x14ac:dyDescent="0.35">
      <c r="A108">
        <v>107</v>
      </c>
      <c r="B108" t="s">
        <v>22</v>
      </c>
      <c r="C108" t="s">
        <v>24</v>
      </c>
      <c r="D108" s="1">
        <v>45365</v>
      </c>
      <c r="E108" t="s">
        <v>27</v>
      </c>
      <c r="F108">
        <v>16</v>
      </c>
      <c r="G108">
        <v>223</v>
      </c>
      <c r="H108">
        <v>20</v>
      </c>
      <c r="I108">
        <v>3408</v>
      </c>
      <c r="J108">
        <v>675</v>
      </c>
      <c r="K108">
        <v>160</v>
      </c>
      <c r="L108">
        <v>77</v>
      </c>
      <c r="M108">
        <v>1.2676056338028101</v>
      </c>
      <c r="N108" t="s">
        <v>23</v>
      </c>
      <c r="O108">
        <v>0</v>
      </c>
    </row>
    <row r="109" spans="1:15" x14ac:dyDescent="0.35">
      <c r="A109">
        <v>108</v>
      </c>
      <c r="B109" t="s">
        <v>22</v>
      </c>
      <c r="C109" t="s">
        <v>19</v>
      </c>
      <c r="D109" s="1">
        <v>45333</v>
      </c>
      <c r="E109" t="s">
        <v>20</v>
      </c>
      <c r="F109">
        <v>21</v>
      </c>
      <c r="G109">
        <v>297</v>
      </c>
      <c r="H109">
        <v>1</v>
      </c>
      <c r="I109">
        <v>2741</v>
      </c>
      <c r="J109">
        <v>695</v>
      </c>
      <c r="K109">
        <v>548</v>
      </c>
      <c r="L109">
        <v>390</v>
      </c>
      <c r="M109">
        <v>1.5957679678949199</v>
      </c>
      <c r="N109" t="s">
        <v>23</v>
      </c>
      <c r="O109">
        <v>0</v>
      </c>
    </row>
    <row r="110" spans="1:15" x14ac:dyDescent="0.35">
      <c r="A110">
        <v>109</v>
      </c>
      <c r="B110" t="s">
        <v>26</v>
      </c>
      <c r="C110" t="s">
        <v>16</v>
      </c>
      <c r="D110" s="1">
        <v>45327</v>
      </c>
      <c r="E110" t="s">
        <v>29</v>
      </c>
      <c r="F110">
        <v>19</v>
      </c>
      <c r="G110">
        <v>70</v>
      </c>
      <c r="H110">
        <v>20</v>
      </c>
      <c r="I110">
        <v>1973</v>
      </c>
      <c r="J110">
        <v>651</v>
      </c>
      <c r="K110">
        <v>296</v>
      </c>
      <c r="L110">
        <v>233</v>
      </c>
      <c r="M110">
        <v>1.59807399898631</v>
      </c>
      <c r="N110" t="s">
        <v>23</v>
      </c>
      <c r="O110">
        <v>0</v>
      </c>
    </row>
    <row r="111" spans="1:15" x14ac:dyDescent="0.35">
      <c r="A111">
        <v>110</v>
      </c>
      <c r="B111" t="s">
        <v>15</v>
      </c>
      <c r="C111" t="s">
        <v>24</v>
      </c>
      <c r="D111" s="1">
        <v>45343</v>
      </c>
      <c r="E111" t="s">
        <v>25</v>
      </c>
      <c r="F111">
        <v>7</v>
      </c>
      <c r="G111">
        <v>170</v>
      </c>
      <c r="H111">
        <v>11</v>
      </c>
      <c r="I111">
        <v>3684</v>
      </c>
      <c r="J111">
        <v>175</v>
      </c>
      <c r="K111">
        <v>308</v>
      </c>
      <c r="L111">
        <v>30</v>
      </c>
      <c r="M111">
        <v>1.13925081433224</v>
      </c>
      <c r="N111" t="s">
        <v>23</v>
      </c>
      <c r="O111">
        <v>0</v>
      </c>
    </row>
    <row r="112" spans="1:15" x14ac:dyDescent="0.35">
      <c r="A112">
        <v>111</v>
      </c>
      <c r="B112" t="s">
        <v>22</v>
      </c>
      <c r="C112" t="s">
        <v>19</v>
      </c>
      <c r="D112" s="1">
        <v>45483</v>
      </c>
      <c r="E112" t="s">
        <v>25</v>
      </c>
      <c r="F112">
        <v>11</v>
      </c>
      <c r="G112">
        <v>107</v>
      </c>
      <c r="H112">
        <v>5</v>
      </c>
      <c r="I112">
        <v>3578</v>
      </c>
      <c r="J112">
        <v>154</v>
      </c>
      <c r="K112">
        <v>252</v>
      </c>
      <c r="L112">
        <v>544</v>
      </c>
      <c r="M112">
        <v>1.26551145891559</v>
      </c>
      <c r="N112" t="s">
        <v>23</v>
      </c>
      <c r="O112">
        <v>0</v>
      </c>
    </row>
    <row r="113" spans="1:15" x14ac:dyDescent="0.35">
      <c r="A113">
        <v>112</v>
      </c>
      <c r="B113" t="s">
        <v>26</v>
      </c>
      <c r="C113" t="s">
        <v>16</v>
      </c>
      <c r="D113" s="1">
        <v>45332</v>
      </c>
      <c r="E113" t="s">
        <v>28</v>
      </c>
      <c r="F113">
        <v>13</v>
      </c>
      <c r="G113">
        <v>256</v>
      </c>
      <c r="H113">
        <v>20</v>
      </c>
      <c r="I113">
        <v>3183</v>
      </c>
      <c r="J113">
        <v>639</v>
      </c>
      <c r="K113">
        <v>248</v>
      </c>
      <c r="L113">
        <v>510</v>
      </c>
      <c r="M113">
        <v>1.4388941250392699</v>
      </c>
      <c r="N113" t="s">
        <v>23</v>
      </c>
      <c r="O113">
        <v>0</v>
      </c>
    </row>
    <row r="114" spans="1:15" x14ac:dyDescent="0.35">
      <c r="A114">
        <v>113</v>
      </c>
      <c r="B114" t="s">
        <v>22</v>
      </c>
      <c r="C114" t="s">
        <v>19</v>
      </c>
      <c r="D114" s="1">
        <v>45422</v>
      </c>
      <c r="E114" t="s">
        <v>30</v>
      </c>
      <c r="F114">
        <v>23</v>
      </c>
      <c r="G114">
        <v>100</v>
      </c>
      <c r="H114">
        <v>2</v>
      </c>
      <c r="I114">
        <v>3814</v>
      </c>
      <c r="J114">
        <v>266</v>
      </c>
      <c r="K114">
        <v>11</v>
      </c>
      <c r="L114">
        <v>477</v>
      </c>
      <c r="M114">
        <v>1.1976927110644899</v>
      </c>
      <c r="N114" t="s">
        <v>23</v>
      </c>
      <c r="O114">
        <v>0</v>
      </c>
    </row>
    <row r="115" spans="1:15" x14ac:dyDescent="0.35">
      <c r="A115">
        <v>114</v>
      </c>
      <c r="B115" t="s">
        <v>22</v>
      </c>
      <c r="C115" t="s">
        <v>19</v>
      </c>
      <c r="D115" s="1">
        <v>45518</v>
      </c>
      <c r="E115" t="s">
        <v>25</v>
      </c>
      <c r="F115">
        <v>14</v>
      </c>
      <c r="G115">
        <v>253</v>
      </c>
      <c r="H115">
        <v>9</v>
      </c>
      <c r="I115">
        <v>2880</v>
      </c>
      <c r="J115">
        <v>606</v>
      </c>
      <c r="K115">
        <v>308</v>
      </c>
      <c r="L115">
        <v>655</v>
      </c>
      <c r="M115">
        <v>1.5447916666666599</v>
      </c>
      <c r="N115" t="s">
        <v>23</v>
      </c>
      <c r="O115">
        <v>0</v>
      </c>
    </row>
    <row r="116" spans="1:15" x14ac:dyDescent="0.35">
      <c r="A116">
        <v>115</v>
      </c>
      <c r="B116" t="s">
        <v>22</v>
      </c>
      <c r="C116" t="s">
        <v>19</v>
      </c>
      <c r="D116" s="1">
        <v>45393</v>
      </c>
      <c r="E116" t="s">
        <v>27</v>
      </c>
      <c r="F116">
        <v>17</v>
      </c>
      <c r="G116">
        <v>171</v>
      </c>
      <c r="H116">
        <v>9</v>
      </c>
      <c r="I116">
        <v>3201</v>
      </c>
      <c r="J116">
        <v>499</v>
      </c>
      <c r="K116">
        <v>111</v>
      </c>
      <c r="L116">
        <v>243</v>
      </c>
      <c r="M116">
        <v>1.26647922524211</v>
      </c>
      <c r="N116" t="s">
        <v>23</v>
      </c>
      <c r="O116">
        <v>0</v>
      </c>
    </row>
    <row r="117" spans="1:15" x14ac:dyDescent="0.35">
      <c r="A117">
        <v>116</v>
      </c>
      <c r="B117" t="s">
        <v>26</v>
      </c>
      <c r="C117" t="s">
        <v>19</v>
      </c>
      <c r="D117" s="1">
        <v>45303</v>
      </c>
      <c r="E117" t="s">
        <v>30</v>
      </c>
      <c r="F117">
        <v>7</v>
      </c>
      <c r="G117">
        <v>274</v>
      </c>
      <c r="H117">
        <v>9</v>
      </c>
      <c r="I117">
        <v>3292</v>
      </c>
      <c r="J117">
        <v>286</v>
      </c>
      <c r="K117">
        <v>10</v>
      </c>
      <c r="L117">
        <v>580</v>
      </c>
      <c r="M117">
        <v>1.2660996354799501</v>
      </c>
      <c r="N117" t="s">
        <v>23</v>
      </c>
      <c r="O117">
        <v>0</v>
      </c>
    </row>
    <row r="118" spans="1:15" x14ac:dyDescent="0.35">
      <c r="A118">
        <v>117</v>
      </c>
      <c r="B118" t="s">
        <v>22</v>
      </c>
      <c r="C118" t="s">
        <v>19</v>
      </c>
      <c r="D118" s="1">
        <v>45409</v>
      </c>
      <c r="E118" t="s">
        <v>28</v>
      </c>
      <c r="F118">
        <v>10</v>
      </c>
      <c r="G118">
        <v>69</v>
      </c>
      <c r="H118">
        <v>20</v>
      </c>
      <c r="I118">
        <v>2936</v>
      </c>
      <c r="J118">
        <v>229</v>
      </c>
      <c r="K118">
        <v>196</v>
      </c>
      <c r="L118">
        <v>636</v>
      </c>
      <c r="M118">
        <v>1.3613760217983599</v>
      </c>
      <c r="N118" t="s">
        <v>23</v>
      </c>
      <c r="O118">
        <v>0</v>
      </c>
    </row>
    <row r="119" spans="1:15" x14ac:dyDescent="0.35">
      <c r="A119">
        <v>118</v>
      </c>
      <c r="B119" t="s">
        <v>22</v>
      </c>
      <c r="C119" t="s">
        <v>19</v>
      </c>
      <c r="D119" s="1">
        <v>45312</v>
      </c>
      <c r="E119" t="s">
        <v>20</v>
      </c>
      <c r="F119">
        <v>10</v>
      </c>
      <c r="G119">
        <v>66</v>
      </c>
      <c r="H119">
        <v>9</v>
      </c>
      <c r="I119">
        <v>2580</v>
      </c>
      <c r="J119">
        <v>456</v>
      </c>
      <c r="K119">
        <v>36</v>
      </c>
      <c r="L119">
        <v>594</v>
      </c>
      <c r="M119">
        <v>1.4209302325581299</v>
      </c>
      <c r="N119" t="s">
        <v>23</v>
      </c>
      <c r="O119">
        <v>0</v>
      </c>
    </row>
    <row r="120" spans="1:15" x14ac:dyDescent="0.35">
      <c r="A120">
        <v>119</v>
      </c>
      <c r="B120" t="s">
        <v>26</v>
      </c>
      <c r="C120" t="s">
        <v>24</v>
      </c>
      <c r="D120" s="1">
        <v>45459</v>
      </c>
      <c r="E120" t="s">
        <v>20</v>
      </c>
      <c r="F120">
        <v>22</v>
      </c>
      <c r="G120">
        <v>276</v>
      </c>
      <c r="H120">
        <v>8</v>
      </c>
      <c r="I120">
        <v>3453</v>
      </c>
      <c r="J120">
        <v>184</v>
      </c>
      <c r="K120">
        <v>207</v>
      </c>
      <c r="L120">
        <v>136</v>
      </c>
      <c r="M120">
        <v>1.1526209093541799</v>
      </c>
      <c r="N120" t="s">
        <v>23</v>
      </c>
      <c r="O120">
        <v>0</v>
      </c>
    </row>
    <row r="121" spans="1:15" x14ac:dyDescent="0.35">
      <c r="A121">
        <v>120</v>
      </c>
      <c r="B121" t="s">
        <v>15</v>
      </c>
      <c r="C121" t="s">
        <v>24</v>
      </c>
      <c r="D121" s="1">
        <v>45376</v>
      </c>
      <c r="E121" t="s">
        <v>29</v>
      </c>
      <c r="F121">
        <v>8</v>
      </c>
      <c r="G121">
        <v>92</v>
      </c>
      <c r="H121">
        <v>7</v>
      </c>
      <c r="I121">
        <v>2155</v>
      </c>
      <c r="J121">
        <v>498</v>
      </c>
      <c r="K121">
        <v>304</v>
      </c>
      <c r="L121">
        <v>347</v>
      </c>
      <c r="M121">
        <v>1.53317865429234</v>
      </c>
      <c r="N121" t="s">
        <v>23</v>
      </c>
      <c r="O121">
        <v>0</v>
      </c>
    </row>
    <row r="122" spans="1:15" x14ac:dyDescent="0.35">
      <c r="A122">
        <v>121</v>
      </c>
      <c r="B122" t="s">
        <v>15</v>
      </c>
      <c r="C122" t="s">
        <v>24</v>
      </c>
      <c r="D122" s="1">
        <v>45495</v>
      </c>
      <c r="E122" t="s">
        <v>29</v>
      </c>
      <c r="F122">
        <v>23</v>
      </c>
      <c r="G122">
        <v>83</v>
      </c>
      <c r="H122">
        <v>14</v>
      </c>
      <c r="I122">
        <v>4615</v>
      </c>
      <c r="J122">
        <v>379</v>
      </c>
      <c r="K122">
        <v>94</v>
      </c>
      <c r="L122">
        <v>405</v>
      </c>
      <c r="M122">
        <v>1.19024918743228</v>
      </c>
      <c r="N122" t="s">
        <v>23</v>
      </c>
      <c r="O122">
        <v>0</v>
      </c>
    </row>
    <row r="123" spans="1:15" x14ac:dyDescent="0.35">
      <c r="A123">
        <v>122</v>
      </c>
      <c r="B123" t="s">
        <v>22</v>
      </c>
      <c r="C123" t="s">
        <v>16</v>
      </c>
      <c r="D123" s="1">
        <v>45480</v>
      </c>
      <c r="E123" t="s">
        <v>20</v>
      </c>
      <c r="F123">
        <v>13</v>
      </c>
      <c r="G123">
        <v>261</v>
      </c>
      <c r="H123">
        <v>0</v>
      </c>
      <c r="I123">
        <v>2197</v>
      </c>
      <c r="J123">
        <v>603</v>
      </c>
      <c r="K123">
        <v>392</v>
      </c>
      <c r="L123">
        <v>654</v>
      </c>
      <c r="M123">
        <v>1.75056895766954</v>
      </c>
      <c r="N123" t="s">
        <v>21</v>
      </c>
      <c r="O123">
        <v>0</v>
      </c>
    </row>
    <row r="124" spans="1:15" x14ac:dyDescent="0.35">
      <c r="A124">
        <v>123</v>
      </c>
      <c r="B124" t="s">
        <v>15</v>
      </c>
      <c r="C124" t="s">
        <v>19</v>
      </c>
      <c r="D124" s="1">
        <v>45579</v>
      </c>
      <c r="E124" t="s">
        <v>29</v>
      </c>
      <c r="F124">
        <v>20</v>
      </c>
      <c r="G124">
        <v>174</v>
      </c>
      <c r="H124">
        <v>20</v>
      </c>
      <c r="I124">
        <v>2737</v>
      </c>
      <c r="J124">
        <v>629</v>
      </c>
      <c r="K124">
        <v>228</v>
      </c>
      <c r="L124">
        <v>664</v>
      </c>
      <c r="M124">
        <v>1.5557179393496501</v>
      </c>
      <c r="N124" t="s">
        <v>23</v>
      </c>
      <c r="O124">
        <v>0</v>
      </c>
    </row>
    <row r="125" spans="1:15" x14ac:dyDescent="0.35">
      <c r="A125">
        <v>124</v>
      </c>
      <c r="B125" t="s">
        <v>22</v>
      </c>
      <c r="C125" t="s">
        <v>24</v>
      </c>
      <c r="D125" s="1">
        <v>45501</v>
      </c>
      <c r="E125" t="s">
        <v>20</v>
      </c>
      <c r="F125">
        <v>9</v>
      </c>
      <c r="G125">
        <v>69</v>
      </c>
      <c r="H125">
        <v>7</v>
      </c>
      <c r="I125">
        <v>1005</v>
      </c>
      <c r="J125">
        <v>148</v>
      </c>
      <c r="K125">
        <v>48</v>
      </c>
      <c r="L125">
        <v>39</v>
      </c>
      <c r="M125">
        <v>1.23383084577114</v>
      </c>
      <c r="N125" t="s">
        <v>23</v>
      </c>
      <c r="O125">
        <v>0</v>
      </c>
    </row>
    <row r="126" spans="1:15" x14ac:dyDescent="0.35">
      <c r="A126">
        <v>125</v>
      </c>
      <c r="B126" t="s">
        <v>26</v>
      </c>
      <c r="C126" t="s">
        <v>19</v>
      </c>
      <c r="D126" s="1">
        <v>45567</v>
      </c>
      <c r="E126" t="s">
        <v>25</v>
      </c>
      <c r="F126">
        <v>23</v>
      </c>
      <c r="G126">
        <v>234</v>
      </c>
      <c r="H126">
        <v>18</v>
      </c>
      <c r="I126">
        <v>1161</v>
      </c>
      <c r="J126">
        <v>402</v>
      </c>
      <c r="K126">
        <v>466</v>
      </c>
      <c r="L126">
        <v>380</v>
      </c>
      <c r="M126">
        <v>2.0749354005167899</v>
      </c>
      <c r="N126" t="s">
        <v>21</v>
      </c>
      <c r="O126">
        <v>0</v>
      </c>
    </row>
    <row r="127" spans="1:15" x14ac:dyDescent="0.35">
      <c r="A127">
        <v>126</v>
      </c>
      <c r="B127" t="s">
        <v>26</v>
      </c>
      <c r="C127" t="s">
        <v>24</v>
      </c>
      <c r="D127" s="1">
        <v>45371</v>
      </c>
      <c r="E127" t="s">
        <v>25</v>
      </c>
      <c r="F127">
        <v>14</v>
      </c>
      <c r="G127">
        <v>36</v>
      </c>
      <c r="H127">
        <v>11</v>
      </c>
      <c r="I127">
        <v>3448</v>
      </c>
      <c r="J127">
        <v>675</v>
      </c>
      <c r="K127">
        <v>103</v>
      </c>
      <c r="L127">
        <v>502</v>
      </c>
      <c r="M127">
        <v>1.3712296983758701</v>
      </c>
      <c r="N127" t="s">
        <v>23</v>
      </c>
      <c r="O127">
        <v>0</v>
      </c>
    </row>
    <row r="128" spans="1:15" x14ac:dyDescent="0.35">
      <c r="A128">
        <v>127</v>
      </c>
      <c r="B128" t="s">
        <v>15</v>
      </c>
      <c r="C128" t="s">
        <v>19</v>
      </c>
      <c r="D128" s="1">
        <v>45403</v>
      </c>
      <c r="E128" t="s">
        <v>20</v>
      </c>
      <c r="F128">
        <v>17</v>
      </c>
      <c r="G128">
        <v>298</v>
      </c>
      <c r="H128">
        <v>20</v>
      </c>
      <c r="I128">
        <v>3682</v>
      </c>
      <c r="J128">
        <v>460</v>
      </c>
      <c r="K128">
        <v>243</v>
      </c>
      <c r="L128">
        <v>372</v>
      </c>
      <c r="M128">
        <v>1.2919608908202</v>
      </c>
      <c r="N128" t="s">
        <v>23</v>
      </c>
      <c r="O128">
        <v>0</v>
      </c>
    </row>
    <row r="129" spans="1:15" x14ac:dyDescent="0.35">
      <c r="A129">
        <v>128</v>
      </c>
      <c r="B129" t="s">
        <v>15</v>
      </c>
      <c r="C129" t="s">
        <v>24</v>
      </c>
      <c r="D129" s="1">
        <v>45475</v>
      </c>
      <c r="E129" t="s">
        <v>17</v>
      </c>
      <c r="F129">
        <v>8</v>
      </c>
      <c r="G129">
        <v>128</v>
      </c>
      <c r="H129">
        <v>20</v>
      </c>
      <c r="I129">
        <v>546</v>
      </c>
      <c r="J129">
        <v>412</v>
      </c>
      <c r="K129">
        <v>284</v>
      </c>
      <c r="L129">
        <v>195</v>
      </c>
      <c r="M129">
        <v>2.6318681318681301</v>
      </c>
      <c r="N129" t="s">
        <v>18</v>
      </c>
      <c r="O129">
        <v>0</v>
      </c>
    </row>
    <row r="130" spans="1:15" x14ac:dyDescent="0.35">
      <c r="A130">
        <v>129</v>
      </c>
      <c r="B130" t="s">
        <v>26</v>
      </c>
      <c r="C130" t="s">
        <v>16</v>
      </c>
      <c r="D130" s="1">
        <v>45302</v>
      </c>
      <c r="E130" t="s">
        <v>27</v>
      </c>
      <c r="F130">
        <v>8</v>
      </c>
      <c r="G130">
        <v>126</v>
      </c>
      <c r="H130">
        <v>18</v>
      </c>
      <c r="I130">
        <v>464</v>
      </c>
      <c r="J130">
        <v>346</v>
      </c>
      <c r="K130">
        <v>251</v>
      </c>
      <c r="L130">
        <v>129</v>
      </c>
      <c r="M130">
        <v>2.56465517241379</v>
      </c>
      <c r="N130" t="s">
        <v>18</v>
      </c>
      <c r="O130">
        <v>0</v>
      </c>
    </row>
    <row r="131" spans="1:15" x14ac:dyDescent="0.35">
      <c r="A131">
        <v>130</v>
      </c>
      <c r="B131" t="s">
        <v>15</v>
      </c>
      <c r="C131" t="s">
        <v>24</v>
      </c>
      <c r="D131" s="1">
        <v>45402</v>
      </c>
      <c r="E131" t="s">
        <v>28</v>
      </c>
      <c r="F131">
        <v>10</v>
      </c>
      <c r="G131">
        <v>86</v>
      </c>
      <c r="H131">
        <v>17</v>
      </c>
      <c r="I131">
        <v>1958</v>
      </c>
      <c r="J131">
        <v>341</v>
      </c>
      <c r="K131">
        <v>153</v>
      </c>
      <c r="L131">
        <v>611</v>
      </c>
      <c r="M131">
        <v>1.56435137895812</v>
      </c>
      <c r="N131" t="s">
        <v>23</v>
      </c>
      <c r="O131">
        <v>0</v>
      </c>
    </row>
    <row r="132" spans="1:15" x14ac:dyDescent="0.35">
      <c r="A132">
        <v>131</v>
      </c>
      <c r="B132" t="s">
        <v>15</v>
      </c>
      <c r="C132" t="s">
        <v>24</v>
      </c>
      <c r="D132" s="1">
        <v>45420</v>
      </c>
      <c r="E132" t="s">
        <v>25</v>
      </c>
      <c r="F132">
        <v>13</v>
      </c>
      <c r="G132">
        <v>185</v>
      </c>
      <c r="H132">
        <v>0</v>
      </c>
      <c r="I132">
        <v>1479</v>
      </c>
      <c r="J132">
        <v>117</v>
      </c>
      <c r="K132">
        <v>28</v>
      </c>
      <c r="L132">
        <v>135</v>
      </c>
      <c r="M132">
        <v>1.1893171061528001</v>
      </c>
      <c r="N132" t="s">
        <v>23</v>
      </c>
      <c r="O132">
        <v>0</v>
      </c>
    </row>
    <row r="133" spans="1:15" x14ac:dyDescent="0.35">
      <c r="A133">
        <v>132</v>
      </c>
      <c r="B133" t="s">
        <v>26</v>
      </c>
      <c r="C133" t="s">
        <v>16</v>
      </c>
      <c r="D133" s="1">
        <v>45381</v>
      </c>
      <c r="E133" t="s">
        <v>28</v>
      </c>
      <c r="F133">
        <v>8</v>
      </c>
      <c r="G133">
        <v>263</v>
      </c>
      <c r="H133">
        <v>14</v>
      </c>
      <c r="I133">
        <v>2223</v>
      </c>
      <c r="J133">
        <v>58</v>
      </c>
      <c r="K133">
        <v>131</v>
      </c>
      <c r="L133">
        <v>432</v>
      </c>
      <c r="M133">
        <v>1.2793522267206401</v>
      </c>
      <c r="N133" t="s">
        <v>23</v>
      </c>
      <c r="O133">
        <v>0</v>
      </c>
    </row>
    <row r="134" spans="1:15" x14ac:dyDescent="0.35">
      <c r="A134">
        <v>133</v>
      </c>
      <c r="B134" t="s">
        <v>26</v>
      </c>
      <c r="C134" t="s">
        <v>16</v>
      </c>
      <c r="D134" s="1">
        <v>45477</v>
      </c>
      <c r="E134" t="s">
        <v>27</v>
      </c>
      <c r="F134">
        <v>7</v>
      </c>
      <c r="G134">
        <v>286</v>
      </c>
      <c r="H134">
        <v>9</v>
      </c>
      <c r="I134">
        <v>4254</v>
      </c>
      <c r="J134">
        <v>612</v>
      </c>
      <c r="K134">
        <v>113</v>
      </c>
      <c r="L134">
        <v>463</v>
      </c>
      <c r="M134">
        <v>1.2792665726375101</v>
      </c>
      <c r="N134" t="s">
        <v>23</v>
      </c>
      <c r="O134">
        <v>0</v>
      </c>
    </row>
    <row r="135" spans="1:15" x14ac:dyDescent="0.35">
      <c r="A135">
        <v>134</v>
      </c>
      <c r="B135" t="s">
        <v>22</v>
      </c>
      <c r="C135" t="s">
        <v>19</v>
      </c>
      <c r="D135" s="1">
        <v>45526</v>
      </c>
      <c r="E135" t="s">
        <v>27</v>
      </c>
      <c r="F135">
        <v>9</v>
      </c>
      <c r="G135">
        <v>271</v>
      </c>
      <c r="H135">
        <v>14</v>
      </c>
      <c r="I135">
        <v>305</v>
      </c>
      <c r="J135">
        <v>67</v>
      </c>
      <c r="K135">
        <v>492</v>
      </c>
      <c r="L135">
        <v>412</v>
      </c>
      <c r="M135">
        <v>4.1836065573770496</v>
      </c>
      <c r="N135" t="s">
        <v>18</v>
      </c>
      <c r="O135">
        <v>0</v>
      </c>
    </row>
    <row r="136" spans="1:15" x14ac:dyDescent="0.35">
      <c r="A136">
        <v>135</v>
      </c>
      <c r="B136" t="s">
        <v>15</v>
      </c>
      <c r="C136" t="s">
        <v>24</v>
      </c>
      <c r="D136" s="1">
        <v>45329</v>
      </c>
      <c r="E136" t="s">
        <v>25</v>
      </c>
      <c r="F136">
        <v>23</v>
      </c>
      <c r="G136">
        <v>186</v>
      </c>
      <c r="H136">
        <v>12</v>
      </c>
      <c r="I136">
        <v>711</v>
      </c>
      <c r="J136">
        <v>334</v>
      </c>
      <c r="K136">
        <v>153</v>
      </c>
      <c r="L136">
        <v>68</v>
      </c>
      <c r="M136">
        <v>1.7805907172995701</v>
      </c>
      <c r="N136" t="s">
        <v>21</v>
      </c>
      <c r="O136">
        <v>0</v>
      </c>
    </row>
    <row r="137" spans="1:15" x14ac:dyDescent="0.35">
      <c r="A137">
        <v>136</v>
      </c>
      <c r="B137" t="s">
        <v>22</v>
      </c>
      <c r="C137" t="s">
        <v>16</v>
      </c>
      <c r="D137" s="1">
        <v>45563</v>
      </c>
      <c r="E137" t="s">
        <v>28</v>
      </c>
      <c r="F137">
        <v>9</v>
      </c>
      <c r="G137">
        <v>130</v>
      </c>
      <c r="H137">
        <v>13</v>
      </c>
      <c r="I137">
        <v>2465</v>
      </c>
      <c r="J137">
        <v>469</v>
      </c>
      <c r="K137">
        <v>519</v>
      </c>
      <c r="L137">
        <v>620</v>
      </c>
      <c r="M137">
        <v>1.6523326572008099</v>
      </c>
      <c r="N137" t="s">
        <v>21</v>
      </c>
      <c r="O137">
        <v>0</v>
      </c>
    </row>
    <row r="138" spans="1:15" x14ac:dyDescent="0.35">
      <c r="A138">
        <v>137</v>
      </c>
      <c r="B138" t="s">
        <v>22</v>
      </c>
      <c r="C138" t="s">
        <v>24</v>
      </c>
      <c r="D138" s="1">
        <v>45523</v>
      </c>
      <c r="E138" t="s">
        <v>29</v>
      </c>
      <c r="F138">
        <v>9</v>
      </c>
      <c r="G138">
        <v>180</v>
      </c>
      <c r="H138">
        <v>13</v>
      </c>
      <c r="I138">
        <v>1921</v>
      </c>
      <c r="J138">
        <v>428</v>
      </c>
      <c r="K138">
        <v>349</v>
      </c>
      <c r="L138">
        <v>465</v>
      </c>
      <c r="M138">
        <v>1.6465382613222199</v>
      </c>
      <c r="N138" t="s">
        <v>21</v>
      </c>
      <c r="O138">
        <v>0</v>
      </c>
    </row>
    <row r="139" spans="1:15" x14ac:dyDescent="0.35">
      <c r="A139">
        <v>138</v>
      </c>
      <c r="B139" t="s">
        <v>15</v>
      </c>
      <c r="C139" t="s">
        <v>16</v>
      </c>
      <c r="D139" s="1">
        <v>45452</v>
      </c>
      <c r="E139" t="s">
        <v>20</v>
      </c>
      <c r="F139">
        <v>8</v>
      </c>
      <c r="G139">
        <v>67</v>
      </c>
      <c r="H139">
        <v>13</v>
      </c>
      <c r="I139">
        <v>2138</v>
      </c>
      <c r="J139">
        <v>388</v>
      </c>
      <c r="K139">
        <v>158</v>
      </c>
      <c r="L139">
        <v>486</v>
      </c>
      <c r="M139">
        <v>1.4826941066417201</v>
      </c>
      <c r="N139" t="s">
        <v>23</v>
      </c>
      <c r="O139">
        <v>0</v>
      </c>
    </row>
    <row r="140" spans="1:15" x14ac:dyDescent="0.35">
      <c r="A140">
        <v>139</v>
      </c>
      <c r="B140" t="s">
        <v>26</v>
      </c>
      <c r="C140" t="s">
        <v>19</v>
      </c>
      <c r="D140" s="1">
        <v>45341</v>
      </c>
      <c r="E140" t="s">
        <v>29</v>
      </c>
      <c r="F140">
        <v>23</v>
      </c>
      <c r="G140">
        <v>188</v>
      </c>
      <c r="H140">
        <v>3</v>
      </c>
      <c r="I140">
        <v>3102</v>
      </c>
      <c r="J140">
        <v>138</v>
      </c>
      <c r="K140">
        <v>571</v>
      </c>
      <c r="L140">
        <v>62</v>
      </c>
      <c r="M140">
        <v>1.2485493230174001</v>
      </c>
      <c r="N140" t="s">
        <v>23</v>
      </c>
      <c r="O140">
        <v>0</v>
      </c>
    </row>
    <row r="141" spans="1:15" x14ac:dyDescent="0.35">
      <c r="A141">
        <v>140</v>
      </c>
      <c r="B141" t="s">
        <v>22</v>
      </c>
      <c r="C141" t="s">
        <v>19</v>
      </c>
      <c r="D141" s="1">
        <v>45502</v>
      </c>
      <c r="E141" t="s">
        <v>29</v>
      </c>
      <c r="F141">
        <v>15</v>
      </c>
      <c r="G141">
        <v>200</v>
      </c>
      <c r="H141">
        <v>3</v>
      </c>
      <c r="I141">
        <v>2946</v>
      </c>
      <c r="J141">
        <v>686</v>
      </c>
      <c r="K141">
        <v>435</v>
      </c>
      <c r="L141">
        <v>53</v>
      </c>
      <c r="M141">
        <v>1.39850644942294</v>
      </c>
      <c r="N141" t="s">
        <v>23</v>
      </c>
      <c r="O141">
        <v>0</v>
      </c>
    </row>
    <row r="142" spans="1:15" x14ac:dyDescent="0.35">
      <c r="A142">
        <v>141</v>
      </c>
      <c r="B142" t="s">
        <v>22</v>
      </c>
      <c r="C142" t="s">
        <v>16</v>
      </c>
      <c r="D142" s="1">
        <v>45587</v>
      </c>
      <c r="E142" t="s">
        <v>17</v>
      </c>
      <c r="F142">
        <v>9</v>
      </c>
      <c r="G142">
        <v>199</v>
      </c>
      <c r="H142">
        <v>17</v>
      </c>
      <c r="I142">
        <v>4206</v>
      </c>
      <c r="J142">
        <v>222</v>
      </c>
      <c r="K142">
        <v>160</v>
      </c>
      <c r="L142">
        <v>673</v>
      </c>
      <c r="M142">
        <v>1.25083214455539</v>
      </c>
      <c r="N142" t="s">
        <v>23</v>
      </c>
      <c r="O142">
        <v>0</v>
      </c>
    </row>
    <row r="143" spans="1:15" x14ac:dyDescent="0.35">
      <c r="A143">
        <v>142</v>
      </c>
      <c r="B143" t="s">
        <v>15</v>
      </c>
      <c r="C143" t="s">
        <v>24</v>
      </c>
      <c r="D143" s="1">
        <v>45480</v>
      </c>
      <c r="E143" t="s">
        <v>20</v>
      </c>
      <c r="F143">
        <v>23</v>
      </c>
      <c r="G143">
        <v>33</v>
      </c>
      <c r="H143">
        <v>19</v>
      </c>
      <c r="I143">
        <v>991</v>
      </c>
      <c r="J143">
        <v>785</v>
      </c>
      <c r="K143">
        <v>287</v>
      </c>
      <c r="L143">
        <v>588</v>
      </c>
      <c r="M143">
        <v>2.6750756811301701</v>
      </c>
      <c r="N143" t="s">
        <v>18</v>
      </c>
      <c r="O143">
        <v>0</v>
      </c>
    </row>
    <row r="144" spans="1:15" x14ac:dyDescent="0.35">
      <c r="A144">
        <v>143</v>
      </c>
      <c r="B144" t="s">
        <v>22</v>
      </c>
      <c r="C144" t="s">
        <v>24</v>
      </c>
      <c r="D144" s="1">
        <v>45428</v>
      </c>
      <c r="E144" t="s">
        <v>27</v>
      </c>
      <c r="F144">
        <v>6</v>
      </c>
      <c r="G144">
        <v>112</v>
      </c>
      <c r="H144">
        <v>4</v>
      </c>
      <c r="I144">
        <v>287</v>
      </c>
      <c r="J144">
        <v>189</v>
      </c>
      <c r="K144">
        <v>281</v>
      </c>
      <c r="L144">
        <v>317</v>
      </c>
      <c r="M144">
        <v>3.7421602787456401</v>
      </c>
      <c r="N144" t="s">
        <v>18</v>
      </c>
      <c r="O144">
        <v>0</v>
      </c>
    </row>
    <row r="145" spans="1:15" x14ac:dyDescent="0.35">
      <c r="A145">
        <v>144</v>
      </c>
      <c r="B145" t="s">
        <v>15</v>
      </c>
      <c r="C145" t="s">
        <v>16</v>
      </c>
      <c r="D145" s="1">
        <v>45581</v>
      </c>
      <c r="E145" t="s">
        <v>25</v>
      </c>
      <c r="F145">
        <v>22</v>
      </c>
      <c r="G145">
        <v>130</v>
      </c>
      <c r="H145">
        <v>12</v>
      </c>
      <c r="I145">
        <v>3333</v>
      </c>
      <c r="J145">
        <v>76</v>
      </c>
      <c r="K145">
        <v>147</v>
      </c>
      <c r="L145">
        <v>649</v>
      </c>
      <c r="M145">
        <v>1.2616261626162599</v>
      </c>
      <c r="N145" t="s">
        <v>23</v>
      </c>
      <c r="O145">
        <v>0</v>
      </c>
    </row>
    <row r="146" spans="1:15" x14ac:dyDescent="0.35">
      <c r="A146">
        <v>145</v>
      </c>
      <c r="B146" t="s">
        <v>22</v>
      </c>
      <c r="C146" t="s">
        <v>19</v>
      </c>
      <c r="D146" s="1">
        <v>45506</v>
      </c>
      <c r="E146" t="s">
        <v>30</v>
      </c>
      <c r="F146">
        <v>16</v>
      </c>
      <c r="G146">
        <v>63</v>
      </c>
      <c r="H146">
        <v>1</v>
      </c>
      <c r="I146">
        <v>3766</v>
      </c>
      <c r="J146">
        <v>354</v>
      </c>
      <c r="K146">
        <v>163</v>
      </c>
      <c r="L146">
        <v>379</v>
      </c>
      <c r="M146">
        <v>1.2379182156133799</v>
      </c>
      <c r="N146" t="s">
        <v>23</v>
      </c>
      <c r="O146">
        <v>0</v>
      </c>
    </row>
    <row r="147" spans="1:15" x14ac:dyDescent="0.35">
      <c r="A147">
        <v>146</v>
      </c>
      <c r="B147" t="s">
        <v>15</v>
      </c>
      <c r="C147" t="s">
        <v>24</v>
      </c>
      <c r="D147" s="1">
        <v>45371</v>
      </c>
      <c r="E147" t="s">
        <v>25</v>
      </c>
      <c r="F147">
        <v>20</v>
      </c>
      <c r="G147">
        <v>237</v>
      </c>
      <c r="H147">
        <v>15</v>
      </c>
      <c r="I147">
        <v>1339</v>
      </c>
      <c r="J147">
        <v>777</v>
      </c>
      <c r="K147">
        <v>52</v>
      </c>
      <c r="L147">
        <v>691</v>
      </c>
      <c r="M147">
        <v>2.13517550410754</v>
      </c>
      <c r="N147" t="s">
        <v>21</v>
      </c>
      <c r="O147">
        <v>0</v>
      </c>
    </row>
    <row r="148" spans="1:15" x14ac:dyDescent="0.35">
      <c r="A148">
        <v>147</v>
      </c>
      <c r="B148" t="s">
        <v>15</v>
      </c>
      <c r="C148" t="s">
        <v>24</v>
      </c>
      <c r="D148" s="1">
        <v>45518</v>
      </c>
      <c r="E148" t="s">
        <v>25</v>
      </c>
      <c r="F148">
        <v>19</v>
      </c>
      <c r="G148">
        <v>76</v>
      </c>
      <c r="H148">
        <v>9</v>
      </c>
      <c r="I148">
        <v>3442</v>
      </c>
      <c r="J148">
        <v>284</v>
      </c>
      <c r="K148">
        <v>222</v>
      </c>
      <c r="L148">
        <v>525</v>
      </c>
      <c r="M148">
        <v>1.29953515398024</v>
      </c>
      <c r="N148" t="s">
        <v>23</v>
      </c>
      <c r="O148">
        <v>0</v>
      </c>
    </row>
    <row r="149" spans="1:15" x14ac:dyDescent="0.35">
      <c r="A149">
        <v>148</v>
      </c>
      <c r="B149" t="s">
        <v>15</v>
      </c>
      <c r="C149" t="s">
        <v>24</v>
      </c>
      <c r="D149" s="1">
        <v>45541</v>
      </c>
      <c r="E149" t="s">
        <v>30</v>
      </c>
      <c r="F149">
        <v>7</v>
      </c>
      <c r="G149">
        <v>23</v>
      </c>
      <c r="H149">
        <v>6</v>
      </c>
      <c r="I149">
        <v>4366</v>
      </c>
      <c r="J149">
        <v>688</v>
      </c>
      <c r="K149">
        <v>317</v>
      </c>
      <c r="L149">
        <v>47</v>
      </c>
      <c r="M149">
        <v>1.2409528172240001</v>
      </c>
      <c r="N149" t="s">
        <v>23</v>
      </c>
      <c r="O149">
        <v>0</v>
      </c>
    </row>
    <row r="150" spans="1:15" x14ac:dyDescent="0.35">
      <c r="A150">
        <v>149</v>
      </c>
      <c r="B150" t="s">
        <v>22</v>
      </c>
      <c r="C150" t="s">
        <v>24</v>
      </c>
      <c r="D150" s="1">
        <v>45446</v>
      </c>
      <c r="E150" t="s">
        <v>29</v>
      </c>
      <c r="F150">
        <v>9</v>
      </c>
      <c r="G150">
        <v>23</v>
      </c>
      <c r="H150">
        <v>15</v>
      </c>
      <c r="I150">
        <v>1780</v>
      </c>
      <c r="J150">
        <v>790</v>
      </c>
      <c r="K150">
        <v>142</v>
      </c>
      <c r="L150">
        <v>262</v>
      </c>
      <c r="M150">
        <v>1.67078651685393</v>
      </c>
      <c r="N150" t="s">
        <v>21</v>
      </c>
      <c r="O150">
        <v>0</v>
      </c>
    </row>
    <row r="151" spans="1:15" x14ac:dyDescent="0.35">
      <c r="A151">
        <v>150</v>
      </c>
      <c r="B151" t="s">
        <v>26</v>
      </c>
      <c r="C151" t="s">
        <v>16</v>
      </c>
      <c r="D151" s="1">
        <v>45512</v>
      </c>
      <c r="E151" t="s">
        <v>27</v>
      </c>
      <c r="F151">
        <v>22</v>
      </c>
      <c r="G151">
        <v>201</v>
      </c>
      <c r="H151">
        <v>2</v>
      </c>
      <c r="I151">
        <v>1489</v>
      </c>
      <c r="J151">
        <v>137</v>
      </c>
      <c r="K151">
        <v>391</v>
      </c>
      <c r="L151">
        <v>546</v>
      </c>
      <c r="M151">
        <v>1.7212894560107399</v>
      </c>
      <c r="N151" t="s">
        <v>21</v>
      </c>
      <c r="O151">
        <v>0</v>
      </c>
    </row>
    <row r="152" spans="1:15" x14ac:dyDescent="0.35">
      <c r="A152">
        <v>151</v>
      </c>
      <c r="B152" t="s">
        <v>15</v>
      </c>
      <c r="C152" t="s">
        <v>24</v>
      </c>
      <c r="D152" s="1">
        <v>45495</v>
      </c>
      <c r="E152" t="s">
        <v>29</v>
      </c>
      <c r="F152">
        <v>19</v>
      </c>
      <c r="G152">
        <v>227</v>
      </c>
      <c r="H152">
        <v>20</v>
      </c>
      <c r="I152">
        <v>396</v>
      </c>
      <c r="J152">
        <v>451</v>
      </c>
      <c r="K152">
        <v>21</v>
      </c>
      <c r="L152">
        <v>471</v>
      </c>
      <c r="M152">
        <v>3.3813131313131302</v>
      </c>
      <c r="N152" t="s">
        <v>18</v>
      </c>
      <c r="O152">
        <v>0</v>
      </c>
    </row>
    <row r="153" spans="1:15" x14ac:dyDescent="0.35">
      <c r="A153">
        <v>152</v>
      </c>
      <c r="B153" t="s">
        <v>22</v>
      </c>
      <c r="C153" t="s">
        <v>16</v>
      </c>
      <c r="D153" s="1">
        <v>45505</v>
      </c>
      <c r="E153" t="s">
        <v>27</v>
      </c>
      <c r="F153">
        <v>20</v>
      </c>
      <c r="G153">
        <v>205</v>
      </c>
      <c r="H153">
        <v>2</v>
      </c>
      <c r="I153">
        <v>2421</v>
      </c>
      <c r="J153">
        <v>122</v>
      </c>
      <c r="K153">
        <v>416</v>
      </c>
      <c r="L153">
        <v>22</v>
      </c>
      <c r="M153">
        <v>1.2313093762907801</v>
      </c>
      <c r="N153" t="s">
        <v>23</v>
      </c>
      <c r="O153">
        <v>0</v>
      </c>
    </row>
    <row r="154" spans="1:15" x14ac:dyDescent="0.35">
      <c r="A154">
        <v>153</v>
      </c>
      <c r="B154" t="s">
        <v>22</v>
      </c>
      <c r="C154" t="s">
        <v>19</v>
      </c>
      <c r="D154" s="1">
        <v>45515</v>
      </c>
      <c r="E154" t="s">
        <v>20</v>
      </c>
      <c r="F154">
        <v>8</v>
      </c>
      <c r="G154">
        <v>222</v>
      </c>
      <c r="H154">
        <v>9</v>
      </c>
      <c r="I154">
        <v>917</v>
      </c>
      <c r="J154">
        <v>254</v>
      </c>
      <c r="K154">
        <v>448</v>
      </c>
      <c r="L154">
        <v>604</v>
      </c>
      <c r="M154">
        <v>2.4242093784078498</v>
      </c>
      <c r="N154" t="s">
        <v>18</v>
      </c>
      <c r="O154">
        <v>0</v>
      </c>
    </row>
    <row r="155" spans="1:15" x14ac:dyDescent="0.35">
      <c r="A155">
        <v>154</v>
      </c>
      <c r="B155" t="s">
        <v>26</v>
      </c>
      <c r="C155" t="s">
        <v>19</v>
      </c>
      <c r="D155" s="1">
        <v>45465</v>
      </c>
      <c r="E155" t="s">
        <v>28</v>
      </c>
      <c r="F155">
        <v>9</v>
      </c>
      <c r="G155">
        <v>291</v>
      </c>
      <c r="H155">
        <v>16</v>
      </c>
      <c r="I155">
        <v>1865</v>
      </c>
      <c r="J155">
        <v>346</v>
      </c>
      <c r="K155">
        <v>174</v>
      </c>
      <c r="L155">
        <v>79</v>
      </c>
      <c r="M155">
        <v>1.3211796246648699</v>
      </c>
      <c r="N155" t="s">
        <v>23</v>
      </c>
      <c r="O155">
        <v>0</v>
      </c>
    </row>
    <row r="156" spans="1:15" x14ac:dyDescent="0.35">
      <c r="A156">
        <v>155</v>
      </c>
      <c r="B156" t="s">
        <v>15</v>
      </c>
      <c r="C156" t="s">
        <v>16</v>
      </c>
      <c r="D156" s="1">
        <v>45391</v>
      </c>
      <c r="E156" t="s">
        <v>17</v>
      </c>
      <c r="F156">
        <v>14</v>
      </c>
      <c r="G156">
        <v>121</v>
      </c>
      <c r="H156">
        <v>5</v>
      </c>
      <c r="I156">
        <v>2912</v>
      </c>
      <c r="J156">
        <v>364</v>
      </c>
      <c r="K156">
        <v>153</v>
      </c>
      <c r="L156">
        <v>242</v>
      </c>
      <c r="M156">
        <v>1.2606456043956</v>
      </c>
      <c r="N156" t="s">
        <v>23</v>
      </c>
      <c r="O156">
        <v>0</v>
      </c>
    </row>
    <row r="157" spans="1:15" x14ac:dyDescent="0.35">
      <c r="A157">
        <v>156</v>
      </c>
      <c r="B157" t="s">
        <v>26</v>
      </c>
      <c r="C157" t="s">
        <v>19</v>
      </c>
      <c r="D157" s="1">
        <v>45370</v>
      </c>
      <c r="E157" t="s">
        <v>17</v>
      </c>
      <c r="F157">
        <v>20</v>
      </c>
      <c r="G157">
        <v>185</v>
      </c>
      <c r="H157">
        <v>20</v>
      </c>
      <c r="I157">
        <v>667</v>
      </c>
      <c r="J157">
        <v>186</v>
      </c>
      <c r="K157">
        <v>507</v>
      </c>
      <c r="L157">
        <v>476</v>
      </c>
      <c r="M157">
        <v>2.7526236881559201</v>
      </c>
      <c r="N157" t="s">
        <v>18</v>
      </c>
      <c r="O157">
        <v>0</v>
      </c>
    </row>
    <row r="158" spans="1:15" x14ac:dyDescent="0.35">
      <c r="A158">
        <v>157</v>
      </c>
      <c r="B158" t="s">
        <v>22</v>
      </c>
      <c r="C158" t="s">
        <v>19</v>
      </c>
      <c r="D158" s="1">
        <v>45453</v>
      </c>
      <c r="E158" t="s">
        <v>29</v>
      </c>
      <c r="F158">
        <v>15</v>
      </c>
      <c r="G158">
        <v>160</v>
      </c>
      <c r="H158">
        <v>18</v>
      </c>
      <c r="I158">
        <v>1286</v>
      </c>
      <c r="J158">
        <v>455</v>
      </c>
      <c r="K158">
        <v>71</v>
      </c>
      <c r="L158">
        <v>481</v>
      </c>
      <c r="M158">
        <v>1.78304821150855</v>
      </c>
      <c r="N158" t="s">
        <v>21</v>
      </c>
      <c r="O158">
        <v>0</v>
      </c>
    </row>
    <row r="159" spans="1:15" x14ac:dyDescent="0.35">
      <c r="A159">
        <v>158</v>
      </c>
      <c r="B159" t="s">
        <v>22</v>
      </c>
      <c r="C159" t="s">
        <v>24</v>
      </c>
      <c r="D159" s="1">
        <v>45320</v>
      </c>
      <c r="E159" t="s">
        <v>29</v>
      </c>
      <c r="F159">
        <v>7</v>
      </c>
      <c r="G159">
        <v>49</v>
      </c>
      <c r="H159">
        <v>11</v>
      </c>
      <c r="I159">
        <v>2933</v>
      </c>
      <c r="J159">
        <v>524</v>
      </c>
      <c r="K159">
        <v>77</v>
      </c>
      <c r="L159">
        <v>318</v>
      </c>
      <c r="M159">
        <v>1.3133310603477599</v>
      </c>
      <c r="N159" t="s">
        <v>23</v>
      </c>
      <c r="O159">
        <v>0</v>
      </c>
    </row>
    <row r="160" spans="1:15" x14ac:dyDescent="0.35">
      <c r="A160">
        <v>159</v>
      </c>
      <c r="B160" t="s">
        <v>26</v>
      </c>
      <c r="C160" t="s">
        <v>19</v>
      </c>
      <c r="D160" s="1">
        <v>45438</v>
      </c>
      <c r="E160" t="s">
        <v>20</v>
      </c>
      <c r="F160">
        <v>18</v>
      </c>
      <c r="G160">
        <v>256</v>
      </c>
      <c r="H160">
        <v>18</v>
      </c>
      <c r="I160">
        <v>678</v>
      </c>
      <c r="J160">
        <v>665</v>
      </c>
      <c r="K160">
        <v>94</v>
      </c>
      <c r="L160">
        <v>630</v>
      </c>
      <c r="M160">
        <v>3.04867256637168</v>
      </c>
      <c r="N160" t="s">
        <v>18</v>
      </c>
      <c r="O160">
        <v>0</v>
      </c>
    </row>
    <row r="161" spans="1:15" x14ac:dyDescent="0.35">
      <c r="A161">
        <v>160</v>
      </c>
      <c r="B161" t="s">
        <v>15</v>
      </c>
      <c r="C161" t="s">
        <v>24</v>
      </c>
      <c r="D161" s="1">
        <v>45575</v>
      </c>
      <c r="E161" t="s">
        <v>27</v>
      </c>
      <c r="F161">
        <v>21</v>
      </c>
      <c r="G161">
        <v>276</v>
      </c>
      <c r="H161">
        <v>4</v>
      </c>
      <c r="I161">
        <v>386</v>
      </c>
      <c r="J161">
        <v>465</v>
      </c>
      <c r="K161">
        <v>587</v>
      </c>
      <c r="L161">
        <v>668</v>
      </c>
      <c r="M161">
        <v>5.4559585492227898</v>
      </c>
      <c r="N161" t="s">
        <v>18</v>
      </c>
      <c r="O161">
        <v>1</v>
      </c>
    </row>
    <row r="162" spans="1:15" x14ac:dyDescent="0.35">
      <c r="A162">
        <v>161</v>
      </c>
      <c r="B162" t="s">
        <v>26</v>
      </c>
      <c r="C162" t="s">
        <v>19</v>
      </c>
      <c r="D162" s="1">
        <v>45323</v>
      </c>
      <c r="E162" t="s">
        <v>27</v>
      </c>
      <c r="F162">
        <v>11</v>
      </c>
      <c r="G162">
        <v>40</v>
      </c>
      <c r="H162">
        <v>7</v>
      </c>
      <c r="I162">
        <v>3740</v>
      </c>
      <c r="J162">
        <v>110</v>
      </c>
      <c r="K162">
        <v>353</v>
      </c>
      <c r="L162">
        <v>87</v>
      </c>
      <c r="M162">
        <v>1.1470588235294099</v>
      </c>
      <c r="N162" t="s">
        <v>23</v>
      </c>
      <c r="O162">
        <v>0</v>
      </c>
    </row>
    <row r="163" spans="1:15" x14ac:dyDescent="0.35">
      <c r="A163">
        <v>162</v>
      </c>
      <c r="B163" t="s">
        <v>15</v>
      </c>
      <c r="C163" t="s">
        <v>24</v>
      </c>
      <c r="D163" s="1">
        <v>45516</v>
      </c>
      <c r="E163" t="s">
        <v>29</v>
      </c>
      <c r="F163">
        <v>17</v>
      </c>
      <c r="G163">
        <v>164</v>
      </c>
      <c r="H163">
        <v>12</v>
      </c>
      <c r="I163">
        <v>3649</v>
      </c>
      <c r="J163">
        <v>541</v>
      </c>
      <c r="K163">
        <v>537</v>
      </c>
      <c r="L163">
        <v>625</v>
      </c>
      <c r="M163">
        <v>1.4667032063579</v>
      </c>
      <c r="N163" t="s">
        <v>23</v>
      </c>
      <c r="O163">
        <v>0</v>
      </c>
    </row>
    <row r="164" spans="1:15" x14ac:dyDescent="0.35">
      <c r="A164">
        <v>163</v>
      </c>
      <c r="B164" t="s">
        <v>26</v>
      </c>
      <c r="C164" t="s">
        <v>24</v>
      </c>
      <c r="D164" s="1">
        <v>45501</v>
      </c>
      <c r="E164" t="s">
        <v>20</v>
      </c>
      <c r="F164">
        <v>8</v>
      </c>
      <c r="G164">
        <v>188</v>
      </c>
      <c r="H164">
        <v>3</v>
      </c>
      <c r="I164">
        <v>2821</v>
      </c>
      <c r="J164">
        <v>700</v>
      </c>
      <c r="K164">
        <v>55</v>
      </c>
      <c r="L164">
        <v>647</v>
      </c>
      <c r="M164">
        <v>1.49698688408365</v>
      </c>
      <c r="N164" t="s">
        <v>23</v>
      </c>
      <c r="O164">
        <v>0</v>
      </c>
    </row>
    <row r="165" spans="1:15" x14ac:dyDescent="0.35">
      <c r="A165">
        <v>164</v>
      </c>
      <c r="B165" t="s">
        <v>26</v>
      </c>
      <c r="C165" t="s">
        <v>16</v>
      </c>
      <c r="D165" s="1">
        <v>45577</v>
      </c>
      <c r="E165" t="s">
        <v>28</v>
      </c>
      <c r="F165">
        <v>16</v>
      </c>
      <c r="G165">
        <v>61</v>
      </c>
      <c r="H165">
        <v>18</v>
      </c>
      <c r="I165">
        <v>3216</v>
      </c>
      <c r="J165">
        <v>295</v>
      </c>
      <c r="K165">
        <v>260</v>
      </c>
      <c r="L165">
        <v>673</v>
      </c>
      <c r="M165">
        <v>1.3818407960199</v>
      </c>
      <c r="N165" t="s">
        <v>23</v>
      </c>
      <c r="O165">
        <v>0</v>
      </c>
    </row>
    <row r="166" spans="1:15" x14ac:dyDescent="0.35">
      <c r="A166">
        <v>165</v>
      </c>
      <c r="B166" t="s">
        <v>26</v>
      </c>
      <c r="C166" t="s">
        <v>19</v>
      </c>
      <c r="D166" s="1">
        <v>45364</v>
      </c>
      <c r="E166" t="s">
        <v>25</v>
      </c>
      <c r="F166">
        <v>8</v>
      </c>
      <c r="G166">
        <v>178</v>
      </c>
      <c r="H166">
        <v>17</v>
      </c>
      <c r="I166">
        <v>2915</v>
      </c>
      <c r="J166">
        <v>322</v>
      </c>
      <c r="K166">
        <v>403</v>
      </c>
      <c r="L166">
        <v>133</v>
      </c>
      <c r="M166">
        <v>1.2943396226415</v>
      </c>
      <c r="N166" t="s">
        <v>23</v>
      </c>
      <c r="O166">
        <v>0</v>
      </c>
    </row>
    <row r="167" spans="1:15" x14ac:dyDescent="0.35">
      <c r="A167">
        <v>166</v>
      </c>
      <c r="B167" t="s">
        <v>26</v>
      </c>
      <c r="C167" t="s">
        <v>19</v>
      </c>
      <c r="D167" s="1">
        <v>45484</v>
      </c>
      <c r="E167" t="s">
        <v>27</v>
      </c>
      <c r="F167">
        <v>19</v>
      </c>
      <c r="G167">
        <v>280</v>
      </c>
      <c r="H167">
        <v>11</v>
      </c>
      <c r="I167">
        <v>2740</v>
      </c>
      <c r="J167">
        <v>135</v>
      </c>
      <c r="K167">
        <v>541</v>
      </c>
      <c r="L167">
        <v>96</v>
      </c>
      <c r="M167">
        <v>1.2817518248175099</v>
      </c>
      <c r="N167" t="s">
        <v>23</v>
      </c>
      <c r="O167">
        <v>0</v>
      </c>
    </row>
    <row r="168" spans="1:15" x14ac:dyDescent="0.35">
      <c r="A168">
        <v>167</v>
      </c>
      <c r="B168" t="s">
        <v>22</v>
      </c>
      <c r="C168" t="s">
        <v>24</v>
      </c>
      <c r="D168" s="1">
        <v>45301</v>
      </c>
      <c r="E168" t="s">
        <v>25</v>
      </c>
      <c r="F168">
        <v>12</v>
      </c>
      <c r="G168">
        <v>135</v>
      </c>
      <c r="H168">
        <v>4</v>
      </c>
      <c r="I168">
        <v>3020</v>
      </c>
      <c r="J168">
        <v>321</v>
      </c>
      <c r="K168">
        <v>186</v>
      </c>
      <c r="L168">
        <v>220</v>
      </c>
      <c r="M168">
        <v>1.2407284768211899</v>
      </c>
      <c r="N168" t="s">
        <v>23</v>
      </c>
      <c r="O168">
        <v>0</v>
      </c>
    </row>
    <row r="169" spans="1:15" x14ac:dyDescent="0.35">
      <c r="A169">
        <v>168</v>
      </c>
      <c r="B169" t="s">
        <v>26</v>
      </c>
      <c r="C169" t="s">
        <v>19</v>
      </c>
      <c r="D169" s="1">
        <v>45371</v>
      </c>
      <c r="E169" t="s">
        <v>25</v>
      </c>
      <c r="F169">
        <v>22</v>
      </c>
      <c r="G169">
        <v>39</v>
      </c>
      <c r="H169">
        <v>10</v>
      </c>
      <c r="I169">
        <v>682</v>
      </c>
      <c r="J169">
        <v>307</v>
      </c>
      <c r="K169">
        <v>105</v>
      </c>
      <c r="L169">
        <v>520</v>
      </c>
      <c r="M169">
        <v>2.3665689149560101</v>
      </c>
      <c r="N169" t="s">
        <v>21</v>
      </c>
      <c r="O169">
        <v>0</v>
      </c>
    </row>
    <row r="170" spans="1:15" x14ac:dyDescent="0.35">
      <c r="A170">
        <v>169</v>
      </c>
      <c r="B170" t="s">
        <v>15</v>
      </c>
      <c r="C170" t="s">
        <v>19</v>
      </c>
      <c r="D170" s="1">
        <v>45359</v>
      </c>
      <c r="E170" t="s">
        <v>30</v>
      </c>
      <c r="F170">
        <v>11</v>
      </c>
      <c r="G170">
        <v>244</v>
      </c>
      <c r="H170">
        <v>1</v>
      </c>
      <c r="I170">
        <v>4942</v>
      </c>
      <c r="J170">
        <v>390</v>
      </c>
      <c r="K170">
        <v>159</v>
      </c>
      <c r="L170">
        <v>167</v>
      </c>
      <c r="M170">
        <v>1.1448806151355699</v>
      </c>
      <c r="N170" t="s">
        <v>23</v>
      </c>
      <c r="O170">
        <v>0</v>
      </c>
    </row>
    <row r="171" spans="1:15" x14ac:dyDescent="0.35">
      <c r="A171">
        <v>170</v>
      </c>
      <c r="B171" t="s">
        <v>26</v>
      </c>
      <c r="C171" t="s">
        <v>24</v>
      </c>
      <c r="D171" s="1">
        <v>45502</v>
      </c>
      <c r="E171" t="s">
        <v>29</v>
      </c>
      <c r="F171">
        <v>20</v>
      </c>
      <c r="G171">
        <v>139</v>
      </c>
      <c r="H171">
        <v>17</v>
      </c>
      <c r="I171">
        <v>3034</v>
      </c>
      <c r="J171">
        <v>697</v>
      </c>
      <c r="K171">
        <v>245</v>
      </c>
      <c r="L171">
        <v>455</v>
      </c>
      <c r="M171">
        <v>1.46044825313118</v>
      </c>
      <c r="N171" t="s">
        <v>23</v>
      </c>
      <c r="O171">
        <v>0</v>
      </c>
    </row>
    <row r="172" spans="1:15" x14ac:dyDescent="0.35">
      <c r="A172">
        <v>171</v>
      </c>
      <c r="B172" t="s">
        <v>26</v>
      </c>
      <c r="C172" t="s">
        <v>19</v>
      </c>
      <c r="D172" s="1">
        <v>45414</v>
      </c>
      <c r="E172" t="s">
        <v>27</v>
      </c>
      <c r="F172">
        <v>20</v>
      </c>
      <c r="G172">
        <v>256</v>
      </c>
      <c r="H172">
        <v>9</v>
      </c>
      <c r="I172">
        <v>2585</v>
      </c>
      <c r="J172">
        <v>485</v>
      </c>
      <c r="K172">
        <v>200</v>
      </c>
      <c r="L172">
        <v>377</v>
      </c>
      <c r="M172">
        <v>1.4108317214700099</v>
      </c>
      <c r="N172" t="s">
        <v>23</v>
      </c>
      <c r="O172">
        <v>0</v>
      </c>
    </row>
    <row r="173" spans="1:15" x14ac:dyDescent="0.35">
      <c r="A173">
        <v>172</v>
      </c>
      <c r="B173" t="s">
        <v>15</v>
      </c>
      <c r="C173" t="s">
        <v>19</v>
      </c>
      <c r="D173" s="1">
        <v>45487</v>
      </c>
      <c r="E173" t="s">
        <v>20</v>
      </c>
      <c r="F173">
        <v>10</v>
      </c>
      <c r="G173">
        <v>148</v>
      </c>
      <c r="H173">
        <v>1</v>
      </c>
      <c r="I173">
        <v>4169</v>
      </c>
      <c r="J173">
        <v>545</v>
      </c>
      <c r="K173">
        <v>430</v>
      </c>
      <c r="L173">
        <v>166</v>
      </c>
      <c r="M173">
        <v>1.27368673542816</v>
      </c>
      <c r="N173" t="s">
        <v>23</v>
      </c>
      <c r="O173">
        <v>0</v>
      </c>
    </row>
    <row r="174" spans="1:15" x14ac:dyDescent="0.35">
      <c r="A174">
        <v>173</v>
      </c>
      <c r="B174" t="s">
        <v>15</v>
      </c>
      <c r="C174" t="s">
        <v>24</v>
      </c>
      <c r="D174" s="1">
        <v>45538</v>
      </c>
      <c r="E174" t="s">
        <v>17</v>
      </c>
      <c r="F174">
        <v>8</v>
      </c>
      <c r="G174">
        <v>102</v>
      </c>
      <c r="H174">
        <v>8</v>
      </c>
      <c r="I174">
        <v>3090</v>
      </c>
      <c r="J174">
        <v>572</v>
      </c>
      <c r="K174">
        <v>107</v>
      </c>
      <c r="L174">
        <v>529</v>
      </c>
      <c r="M174">
        <v>1.39093851132686</v>
      </c>
      <c r="N174" t="s">
        <v>23</v>
      </c>
      <c r="O174">
        <v>0</v>
      </c>
    </row>
    <row r="175" spans="1:15" x14ac:dyDescent="0.35">
      <c r="A175">
        <v>174</v>
      </c>
      <c r="B175" t="s">
        <v>15</v>
      </c>
      <c r="C175" t="s">
        <v>24</v>
      </c>
      <c r="D175" s="1">
        <v>45522</v>
      </c>
      <c r="E175" t="s">
        <v>20</v>
      </c>
      <c r="F175">
        <v>17</v>
      </c>
      <c r="G175">
        <v>33</v>
      </c>
      <c r="H175">
        <v>13</v>
      </c>
      <c r="I175">
        <v>4255</v>
      </c>
      <c r="J175">
        <v>155</v>
      </c>
      <c r="K175">
        <v>449</v>
      </c>
      <c r="L175">
        <v>94</v>
      </c>
      <c r="M175">
        <v>1.1640423031727301</v>
      </c>
      <c r="N175" t="s">
        <v>23</v>
      </c>
      <c r="O175">
        <v>0</v>
      </c>
    </row>
    <row r="176" spans="1:15" x14ac:dyDescent="0.35">
      <c r="A176">
        <v>175</v>
      </c>
      <c r="B176" t="s">
        <v>22</v>
      </c>
      <c r="C176" t="s">
        <v>16</v>
      </c>
      <c r="D176" s="1">
        <v>45319</v>
      </c>
      <c r="E176" t="s">
        <v>20</v>
      </c>
      <c r="F176">
        <v>17</v>
      </c>
      <c r="G176">
        <v>134</v>
      </c>
      <c r="H176">
        <v>0</v>
      </c>
      <c r="I176">
        <v>3297</v>
      </c>
      <c r="J176">
        <v>519</v>
      </c>
      <c r="K176">
        <v>384</v>
      </c>
      <c r="L176">
        <v>242</v>
      </c>
      <c r="M176">
        <v>1.3472854109796699</v>
      </c>
      <c r="N176" t="s">
        <v>23</v>
      </c>
      <c r="O176">
        <v>0</v>
      </c>
    </row>
    <row r="177" spans="1:15" x14ac:dyDescent="0.35">
      <c r="A177">
        <v>176</v>
      </c>
      <c r="B177" t="s">
        <v>15</v>
      </c>
      <c r="C177" t="s">
        <v>16</v>
      </c>
      <c r="D177" s="1">
        <v>45455</v>
      </c>
      <c r="E177" t="s">
        <v>25</v>
      </c>
      <c r="F177">
        <v>15</v>
      </c>
      <c r="G177">
        <v>261</v>
      </c>
      <c r="H177">
        <v>4</v>
      </c>
      <c r="I177">
        <v>861</v>
      </c>
      <c r="J177">
        <v>736</v>
      </c>
      <c r="K177">
        <v>345</v>
      </c>
      <c r="L177">
        <v>150</v>
      </c>
      <c r="M177">
        <v>2.4297328687572501</v>
      </c>
      <c r="N177" t="s">
        <v>18</v>
      </c>
      <c r="O177">
        <v>0</v>
      </c>
    </row>
    <row r="178" spans="1:15" x14ac:dyDescent="0.35">
      <c r="A178">
        <v>177</v>
      </c>
      <c r="B178" t="s">
        <v>15</v>
      </c>
      <c r="C178" t="s">
        <v>24</v>
      </c>
      <c r="D178" s="1">
        <v>45532</v>
      </c>
      <c r="E178" t="s">
        <v>25</v>
      </c>
      <c r="F178">
        <v>12</v>
      </c>
      <c r="G178">
        <v>96</v>
      </c>
      <c r="H178">
        <v>17</v>
      </c>
      <c r="I178">
        <v>3724</v>
      </c>
      <c r="J178">
        <v>635</v>
      </c>
      <c r="K178">
        <v>7</v>
      </c>
      <c r="L178">
        <v>82</v>
      </c>
      <c r="M178">
        <v>1.1944146079484399</v>
      </c>
      <c r="N178" t="s">
        <v>23</v>
      </c>
      <c r="O178">
        <v>0</v>
      </c>
    </row>
    <row r="179" spans="1:15" x14ac:dyDescent="0.35">
      <c r="A179">
        <v>178</v>
      </c>
      <c r="B179" t="s">
        <v>22</v>
      </c>
      <c r="C179" t="s">
        <v>16</v>
      </c>
      <c r="D179" s="1">
        <v>45562</v>
      </c>
      <c r="E179" t="s">
        <v>30</v>
      </c>
      <c r="F179">
        <v>7</v>
      </c>
      <c r="G179">
        <v>142</v>
      </c>
      <c r="H179">
        <v>13</v>
      </c>
      <c r="I179">
        <v>3517</v>
      </c>
      <c r="J179">
        <v>118</v>
      </c>
      <c r="K179">
        <v>297</v>
      </c>
      <c r="L179">
        <v>244</v>
      </c>
      <c r="M179">
        <v>1.18737560420813</v>
      </c>
      <c r="N179" t="s">
        <v>23</v>
      </c>
      <c r="O179">
        <v>0</v>
      </c>
    </row>
    <row r="180" spans="1:15" x14ac:dyDescent="0.35">
      <c r="A180">
        <v>179</v>
      </c>
      <c r="B180" t="s">
        <v>26</v>
      </c>
      <c r="C180" t="s">
        <v>16</v>
      </c>
      <c r="D180" s="1">
        <v>45526</v>
      </c>
      <c r="E180" t="s">
        <v>27</v>
      </c>
      <c r="F180">
        <v>22</v>
      </c>
      <c r="G180">
        <v>143</v>
      </c>
      <c r="H180">
        <v>4</v>
      </c>
      <c r="I180">
        <v>564</v>
      </c>
      <c r="J180">
        <v>118</v>
      </c>
      <c r="K180">
        <v>513</v>
      </c>
      <c r="L180">
        <v>612</v>
      </c>
      <c r="M180">
        <v>3.2039007092198499</v>
      </c>
      <c r="N180" t="s">
        <v>18</v>
      </c>
      <c r="O180">
        <v>0</v>
      </c>
    </row>
    <row r="181" spans="1:15" x14ac:dyDescent="0.35">
      <c r="A181">
        <v>180</v>
      </c>
      <c r="B181" t="s">
        <v>26</v>
      </c>
      <c r="C181" t="s">
        <v>24</v>
      </c>
      <c r="D181" s="1">
        <v>45441</v>
      </c>
      <c r="E181" t="s">
        <v>25</v>
      </c>
      <c r="F181">
        <v>11</v>
      </c>
      <c r="G181">
        <v>63</v>
      </c>
      <c r="H181">
        <v>16</v>
      </c>
      <c r="I181">
        <v>3566</v>
      </c>
      <c r="J181">
        <v>6</v>
      </c>
      <c r="K181">
        <v>363</v>
      </c>
      <c r="L181">
        <v>247</v>
      </c>
      <c r="M181">
        <v>1.1727425687044299</v>
      </c>
      <c r="N181" t="s">
        <v>23</v>
      </c>
      <c r="O181">
        <v>0</v>
      </c>
    </row>
    <row r="182" spans="1:15" x14ac:dyDescent="0.35">
      <c r="A182">
        <v>181</v>
      </c>
      <c r="B182" t="s">
        <v>26</v>
      </c>
      <c r="C182" t="s">
        <v>19</v>
      </c>
      <c r="D182" s="1">
        <v>45476</v>
      </c>
      <c r="E182" t="s">
        <v>25</v>
      </c>
      <c r="F182">
        <v>6</v>
      </c>
      <c r="G182">
        <v>219</v>
      </c>
      <c r="H182">
        <v>15</v>
      </c>
      <c r="I182">
        <v>604</v>
      </c>
      <c r="J182">
        <v>543</v>
      </c>
      <c r="K182">
        <v>559</v>
      </c>
      <c r="L182">
        <v>520</v>
      </c>
      <c r="M182">
        <v>3.6854304635761501</v>
      </c>
      <c r="N182" t="s">
        <v>18</v>
      </c>
      <c r="O182">
        <v>1</v>
      </c>
    </row>
    <row r="183" spans="1:15" x14ac:dyDescent="0.35">
      <c r="A183">
        <v>182</v>
      </c>
      <c r="B183" t="s">
        <v>22</v>
      </c>
      <c r="C183" t="s">
        <v>16</v>
      </c>
      <c r="D183" s="1">
        <v>45314</v>
      </c>
      <c r="E183" t="s">
        <v>17</v>
      </c>
      <c r="F183">
        <v>17</v>
      </c>
      <c r="G183">
        <v>143</v>
      </c>
      <c r="H183">
        <v>20</v>
      </c>
      <c r="I183">
        <v>3219</v>
      </c>
      <c r="J183">
        <v>387</v>
      </c>
      <c r="K183">
        <v>261</v>
      </c>
      <c r="L183">
        <v>17</v>
      </c>
      <c r="M183">
        <v>1.2065858962410601</v>
      </c>
      <c r="N183" t="s">
        <v>23</v>
      </c>
      <c r="O183">
        <v>0</v>
      </c>
    </row>
    <row r="184" spans="1:15" x14ac:dyDescent="0.35">
      <c r="A184">
        <v>183</v>
      </c>
      <c r="B184" t="s">
        <v>15</v>
      </c>
      <c r="C184" t="s">
        <v>24</v>
      </c>
      <c r="D184" s="1">
        <v>45345</v>
      </c>
      <c r="E184" t="s">
        <v>30</v>
      </c>
      <c r="F184">
        <v>23</v>
      </c>
      <c r="G184">
        <v>193</v>
      </c>
      <c r="H184">
        <v>20</v>
      </c>
      <c r="I184">
        <v>4816</v>
      </c>
      <c r="J184">
        <v>757</v>
      </c>
      <c r="K184">
        <v>342</v>
      </c>
      <c r="L184">
        <v>137</v>
      </c>
      <c r="M184">
        <v>1.25664451827242</v>
      </c>
      <c r="N184" t="s">
        <v>23</v>
      </c>
      <c r="O184">
        <v>0</v>
      </c>
    </row>
    <row r="185" spans="1:15" x14ac:dyDescent="0.35">
      <c r="A185">
        <v>184</v>
      </c>
      <c r="B185" t="s">
        <v>15</v>
      </c>
      <c r="C185" t="s">
        <v>16</v>
      </c>
      <c r="D185" s="1">
        <v>45381</v>
      </c>
      <c r="E185" t="s">
        <v>28</v>
      </c>
      <c r="F185">
        <v>8</v>
      </c>
      <c r="G185">
        <v>254</v>
      </c>
      <c r="H185">
        <v>1</v>
      </c>
      <c r="I185">
        <v>3856</v>
      </c>
      <c r="J185">
        <v>717</v>
      </c>
      <c r="K185">
        <v>492</v>
      </c>
      <c r="L185">
        <v>647</v>
      </c>
      <c r="M185">
        <v>1.48132780082987</v>
      </c>
      <c r="N185" t="s">
        <v>23</v>
      </c>
      <c r="O185">
        <v>0</v>
      </c>
    </row>
    <row r="186" spans="1:15" x14ac:dyDescent="0.35">
      <c r="A186">
        <v>185</v>
      </c>
      <c r="B186" t="s">
        <v>22</v>
      </c>
      <c r="C186" t="s">
        <v>24</v>
      </c>
      <c r="D186" s="1">
        <v>45442</v>
      </c>
      <c r="E186" t="s">
        <v>27</v>
      </c>
      <c r="F186">
        <v>22</v>
      </c>
      <c r="G186">
        <v>223</v>
      </c>
      <c r="H186">
        <v>17</v>
      </c>
      <c r="I186">
        <v>1701</v>
      </c>
      <c r="J186">
        <v>49</v>
      </c>
      <c r="K186">
        <v>206</v>
      </c>
      <c r="L186">
        <v>43</v>
      </c>
      <c r="M186">
        <v>1.1751910640799501</v>
      </c>
      <c r="N186" t="s">
        <v>23</v>
      </c>
      <c r="O186">
        <v>0</v>
      </c>
    </row>
    <row r="187" spans="1:15" x14ac:dyDescent="0.35">
      <c r="A187">
        <v>186</v>
      </c>
      <c r="B187" t="s">
        <v>22</v>
      </c>
      <c r="C187" t="s">
        <v>16</v>
      </c>
      <c r="D187" s="1">
        <v>45534</v>
      </c>
      <c r="E187" t="s">
        <v>30</v>
      </c>
      <c r="F187">
        <v>16</v>
      </c>
      <c r="G187">
        <v>159</v>
      </c>
      <c r="H187">
        <v>3</v>
      </c>
      <c r="I187">
        <v>2125</v>
      </c>
      <c r="J187">
        <v>42</v>
      </c>
      <c r="K187">
        <v>197</v>
      </c>
      <c r="L187">
        <v>293</v>
      </c>
      <c r="M187">
        <v>1.25035294117647</v>
      </c>
      <c r="N187" t="s">
        <v>23</v>
      </c>
      <c r="O187">
        <v>0</v>
      </c>
    </row>
    <row r="188" spans="1:15" x14ac:dyDescent="0.35">
      <c r="A188">
        <v>187</v>
      </c>
      <c r="B188" t="s">
        <v>22</v>
      </c>
      <c r="C188" t="s">
        <v>16</v>
      </c>
      <c r="D188" s="1">
        <v>45480</v>
      </c>
      <c r="E188" t="s">
        <v>20</v>
      </c>
      <c r="F188">
        <v>21</v>
      </c>
      <c r="G188">
        <v>274</v>
      </c>
      <c r="H188">
        <v>11</v>
      </c>
      <c r="I188">
        <v>3629</v>
      </c>
      <c r="J188">
        <v>414</v>
      </c>
      <c r="K188">
        <v>452</v>
      </c>
      <c r="L188">
        <v>396</v>
      </c>
      <c r="M188">
        <v>1.3477542022595701</v>
      </c>
      <c r="N188" t="s">
        <v>23</v>
      </c>
      <c r="O188">
        <v>0</v>
      </c>
    </row>
    <row r="189" spans="1:15" x14ac:dyDescent="0.35">
      <c r="A189">
        <v>188</v>
      </c>
      <c r="B189" t="s">
        <v>22</v>
      </c>
      <c r="C189" t="s">
        <v>19</v>
      </c>
      <c r="D189" s="1">
        <v>45557</v>
      </c>
      <c r="E189" t="s">
        <v>20</v>
      </c>
      <c r="F189">
        <v>11</v>
      </c>
      <c r="G189">
        <v>299</v>
      </c>
      <c r="H189">
        <v>9</v>
      </c>
      <c r="I189">
        <v>2234</v>
      </c>
      <c r="J189">
        <v>89</v>
      </c>
      <c r="K189">
        <v>436</v>
      </c>
      <c r="L189">
        <v>81</v>
      </c>
      <c r="M189">
        <v>1.27126230975828</v>
      </c>
      <c r="N189" t="s">
        <v>23</v>
      </c>
      <c r="O189">
        <v>0</v>
      </c>
    </row>
    <row r="190" spans="1:15" x14ac:dyDescent="0.35">
      <c r="A190">
        <v>189</v>
      </c>
      <c r="B190" t="s">
        <v>22</v>
      </c>
      <c r="C190" t="s">
        <v>24</v>
      </c>
      <c r="D190" s="1">
        <v>45456</v>
      </c>
      <c r="E190" t="s">
        <v>27</v>
      </c>
      <c r="F190">
        <v>20</v>
      </c>
      <c r="G190">
        <v>238</v>
      </c>
      <c r="H190">
        <v>5</v>
      </c>
      <c r="I190">
        <v>890</v>
      </c>
      <c r="J190">
        <v>86</v>
      </c>
      <c r="K190">
        <v>337</v>
      </c>
      <c r="L190">
        <v>677</v>
      </c>
      <c r="M190">
        <v>2.2359550561797699</v>
      </c>
      <c r="N190" t="s">
        <v>21</v>
      </c>
      <c r="O190">
        <v>0</v>
      </c>
    </row>
    <row r="191" spans="1:15" x14ac:dyDescent="0.35">
      <c r="A191">
        <v>190</v>
      </c>
      <c r="B191" t="s">
        <v>26</v>
      </c>
      <c r="C191" t="s">
        <v>24</v>
      </c>
      <c r="D191" s="1">
        <v>45519</v>
      </c>
      <c r="E191" t="s">
        <v>27</v>
      </c>
      <c r="F191">
        <v>14</v>
      </c>
      <c r="G191">
        <v>49</v>
      </c>
      <c r="H191">
        <v>2</v>
      </c>
      <c r="I191">
        <v>2929</v>
      </c>
      <c r="J191">
        <v>462</v>
      </c>
      <c r="K191">
        <v>45</v>
      </c>
      <c r="L191">
        <v>362</v>
      </c>
      <c r="M191">
        <v>1.2966882895186</v>
      </c>
      <c r="N191" t="s">
        <v>23</v>
      </c>
      <c r="O191">
        <v>0</v>
      </c>
    </row>
    <row r="192" spans="1:15" x14ac:dyDescent="0.35">
      <c r="A192">
        <v>191</v>
      </c>
      <c r="B192" t="s">
        <v>15</v>
      </c>
      <c r="C192" t="s">
        <v>19</v>
      </c>
      <c r="D192" s="1">
        <v>45499</v>
      </c>
      <c r="E192" t="s">
        <v>30</v>
      </c>
      <c r="F192">
        <v>20</v>
      </c>
      <c r="G192">
        <v>37</v>
      </c>
      <c r="H192">
        <v>4</v>
      </c>
      <c r="I192">
        <v>3026</v>
      </c>
      <c r="J192">
        <v>530</v>
      </c>
      <c r="K192">
        <v>165</v>
      </c>
      <c r="L192">
        <v>32</v>
      </c>
      <c r="M192">
        <v>1.2402511566424299</v>
      </c>
      <c r="N192" t="s">
        <v>23</v>
      </c>
      <c r="O192">
        <v>0</v>
      </c>
    </row>
    <row r="193" spans="1:15" x14ac:dyDescent="0.35">
      <c r="A193">
        <v>192</v>
      </c>
      <c r="B193" t="s">
        <v>22</v>
      </c>
      <c r="C193" t="s">
        <v>19</v>
      </c>
      <c r="D193" s="1">
        <v>45326</v>
      </c>
      <c r="E193" t="s">
        <v>20</v>
      </c>
      <c r="F193">
        <v>7</v>
      </c>
      <c r="G193">
        <v>98</v>
      </c>
      <c r="H193">
        <v>14</v>
      </c>
      <c r="I193">
        <v>1983</v>
      </c>
      <c r="J193">
        <v>665</v>
      </c>
      <c r="K193">
        <v>377</v>
      </c>
      <c r="L193">
        <v>371</v>
      </c>
      <c r="M193">
        <v>1.7125567322238999</v>
      </c>
      <c r="N193" t="s">
        <v>21</v>
      </c>
      <c r="O193">
        <v>0</v>
      </c>
    </row>
    <row r="194" spans="1:15" x14ac:dyDescent="0.35">
      <c r="A194">
        <v>193</v>
      </c>
      <c r="B194" t="s">
        <v>15</v>
      </c>
      <c r="C194" t="s">
        <v>19</v>
      </c>
      <c r="D194" s="1">
        <v>45481</v>
      </c>
      <c r="E194" t="s">
        <v>29</v>
      </c>
      <c r="F194">
        <v>17</v>
      </c>
      <c r="G194">
        <v>223</v>
      </c>
      <c r="H194">
        <v>10</v>
      </c>
      <c r="I194">
        <v>3097</v>
      </c>
      <c r="J194">
        <v>459</v>
      </c>
      <c r="K194">
        <v>80</v>
      </c>
      <c r="L194">
        <v>588</v>
      </c>
      <c r="M194">
        <v>1.3639005489183</v>
      </c>
      <c r="N194" t="s">
        <v>23</v>
      </c>
      <c r="O194">
        <v>0</v>
      </c>
    </row>
    <row r="195" spans="1:15" x14ac:dyDescent="0.35">
      <c r="A195">
        <v>194</v>
      </c>
      <c r="B195" t="s">
        <v>22</v>
      </c>
      <c r="C195" t="s">
        <v>19</v>
      </c>
      <c r="D195" s="1">
        <v>45434</v>
      </c>
      <c r="E195" t="s">
        <v>25</v>
      </c>
      <c r="F195">
        <v>18</v>
      </c>
      <c r="G195">
        <v>80</v>
      </c>
      <c r="H195">
        <v>8</v>
      </c>
      <c r="I195">
        <v>2094</v>
      </c>
      <c r="J195">
        <v>121</v>
      </c>
      <c r="K195">
        <v>28</v>
      </c>
      <c r="L195">
        <v>191</v>
      </c>
      <c r="M195">
        <v>1.1623686723973199</v>
      </c>
      <c r="N195" t="s">
        <v>23</v>
      </c>
      <c r="O195">
        <v>0</v>
      </c>
    </row>
    <row r="196" spans="1:15" x14ac:dyDescent="0.35">
      <c r="A196">
        <v>195</v>
      </c>
      <c r="B196" t="s">
        <v>15</v>
      </c>
      <c r="C196" t="s">
        <v>16</v>
      </c>
      <c r="D196" s="1">
        <v>45425</v>
      </c>
      <c r="E196" t="s">
        <v>29</v>
      </c>
      <c r="F196">
        <v>10</v>
      </c>
      <c r="G196">
        <v>57</v>
      </c>
      <c r="H196">
        <v>14</v>
      </c>
      <c r="I196">
        <v>3705</v>
      </c>
      <c r="J196">
        <v>224</v>
      </c>
      <c r="K196">
        <v>294</v>
      </c>
      <c r="L196">
        <v>503</v>
      </c>
      <c r="M196">
        <v>1.27557354925775</v>
      </c>
      <c r="N196" t="s">
        <v>23</v>
      </c>
      <c r="O196">
        <v>0</v>
      </c>
    </row>
    <row r="197" spans="1:15" x14ac:dyDescent="0.35">
      <c r="A197">
        <v>196</v>
      </c>
      <c r="B197" t="s">
        <v>22</v>
      </c>
      <c r="C197" t="s">
        <v>19</v>
      </c>
      <c r="D197" s="1">
        <v>45380</v>
      </c>
      <c r="E197" t="s">
        <v>30</v>
      </c>
      <c r="F197">
        <v>8</v>
      </c>
      <c r="G197">
        <v>297</v>
      </c>
      <c r="H197">
        <v>9</v>
      </c>
      <c r="I197">
        <v>3696</v>
      </c>
      <c r="J197">
        <v>94</v>
      </c>
      <c r="K197">
        <v>329</v>
      </c>
      <c r="L197">
        <v>684</v>
      </c>
      <c r="M197">
        <v>1.29951298701298</v>
      </c>
      <c r="N197" t="s">
        <v>23</v>
      </c>
      <c r="O197">
        <v>0</v>
      </c>
    </row>
    <row r="198" spans="1:15" x14ac:dyDescent="0.35">
      <c r="A198">
        <v>197</v>
      </c>
      <c r="B198" t="s">
        <v>26</v>
      </c>
      <c r="C198" t="s">
        <v>16</v>
      </c>
      <c r="D198" s="1">
        <v>45445</v>
      </c>
      <c r="E198" t="s">
        <v>20</v>
      </c>
      <c r="F198">
        <v>9</v>
      </c>
      <c r="G198">
        <v>122</v>
      </c>
      <c r="H198">
        <v>4</v>
      </c>
      <c r="I198">
        <v>1340</v>
      </c>
      <c r="J198">
        <v>733</v>
      </c>
      <c r="K198">
        <v>180</v>
      </c>
      <c r="L198">
        <v>371</v>
      </c>
      <c r="M198">
        <v>1.9582089552238799</v>
      </c>
      <c r="N198" t="s">
        <v>21</v>
      </c>
      <c r="O198">
        <v>0</v>
      </c>
    </row>
    <row r="199" spans="1:15" x14ac:dyDescent="0.35">
      <c r="A199">
        <v>198</v>
      </c>
      <c r="B199" t="s">
        <v>26</v>
      </c>
      <c r="C199" t="s">
        <v>24</v>
      </c>
      <c r="D199" s="1">
        <v>45413</v>
      </c>
      <c r="E199" t="s">
        <v>25</v>
      </c>
      <c r="F199">
        <v>20</v>
      </c>
      <c r="G199">
        <v>86</v>
      </c>
      <c r="H199">
        <v>19</v>
      </c>
      <c r="I199">
        <v>4097</v>
      </c>
      <c r="J199">
        <v>31</v>
      </c>
      <c r="K199">
        <v>371</v>
      </c>
      <c r="L199">
        <v>568</v>
      </c>
      <c r="M199">
        <v>1.23675860385648</v>
      </c>
      <c r="N199" t="s">
        <v>23</v>
      </c>
      <c r="O199">
        <v>0</v>
      </c>
    </row>
    <row r="200" spans="1:15" x14ac:dyDescent="0.35">
      <c r="A200">
        <v>199</v>
      </c>
      <c r="B200" t="s">
        <v>26</v>
      </c>
      <c r="C200" t="s">
        <v>24</v>
      </c>
      <c r="D200" s="1">
        <v>45336</v>
      </c>
      <c r="E200" t="s">
        <v>25</v>
      </c>
      <c r="F200">
        <v>19</v>
      </c>
      <c r="G200">
        <v>57</v>
      </c>
      <c r="H200">
        <v>4</v>
      </c>
      <c r="I200">
        <v>588</v>
      </c>
      <c r="J200">
        <v>321</v>
      </c>
      <c r="K200">
        <v>409</v>
      </c>
      <c r="L200">
        <v>491</v>
      </c>
      <c r="M200">
        <v>3.0765306122448899</v>
      </c>
      <c r="N200" t="s">
        <v>18</v>
      </c>
      <c r="O200">
        <v>0</v>
      </c>
    </row>
    <row r="201" spans="1:15" x14ac:dyDescent="0.35">
      <c r="A201">
        <v>200</v>
      </c>
      <c r="B201" t="s">
        <v>26</v>
      </c>
      <c r="C201" t="s">
        <v>24</v>
      </c>
      <c r="D201" s="1">
        <v>45454</v>
      </c>
      <c r="E201" t="s">
        <v>17</v>
      </c>
      <c r="F201">
        <v>10</v>
      </c>
      <c r="G201">
        <v>113</v>
      </c>
      <c r="H201">
        <v>4</v>
      </c>
      <c r="I201">
        <v>657</v>
      </c>
      <c r="J201">
        <v>465</v>
      </c>
      <c r="K201">
        <v>479</v>
      </c>
      <c r="L201">
        <v>697</v>
      </c>
      <c r="M201">
        <v>3.49771689497716</v>
      </c>
      <c r="N201" t="s">
        <v>18</v>
      </c>
      <c r="O201">
        <v>0</v>
      </c>
    </row>
    <row r="202" spans="1:15" x14ac:dyDescent="0.35">
      <c r="A202">
        <v>201</v>
      </c>
      <c r="B202" t="s">
        <v>15</v>
      </c>
      <c r="C202" t="s">
        <v>24</v>
      </c>
      <c r="D202" s="1">
        <v>45513</v>
      </c>
      <c r="E202" t="s">
        <v>30</v>
      </c>
      <c r="F202">
        <v>11</v>
      </c>
      <c r="G202">
        <v>102</v>
      </c>
      <c r="H202">
        <v>10</v>
      </c>
      <c r="I202">
        <v>4169</v>
      </c>
      <c r="J202">
        <v>61</v>
      </c>
      <c r="K202">
        <v>129</v>
      </c>
      <c r="L202">
        <v>531</v>
      </c>
      <c r="M202">
        <v>1.17294315183497</v>
      </c>
      <c r="N202" t="s">
        <v>23</v>
      </c>
      <c r="O202">
        <v>0</v>
      </c>
    </row>
    <row r="203" spans="1:15" x14ac:dyDescent="0.35">
      <c r="A203">
        <v>202</v>
      </c>
      <c r="B203" t="s">
        <v>22</v>
      </c>
      <c r="C203" t="s">
        <v>16</v>
      </c>
      <c r="D203" s="1">
        <v>45407</v>
      </c>
      <c r="E203" t="s">
        <v>27</v>
      </c>
      <c r="F203">
        <v>23</v>
      </c>
      <c r="G203">
        <v>160</v>
      </c>
      <c r="H203">
        <v>4</v>
      </c>
      <c r="I203">
        <v>2884</v>
      </c>
      <c r="J203">
        <v>536</v>
      </c>
      <c r="K203">
        <v>292</v>
      </c>
      <c r="L203">
        <v>81</v>
      </c>
      <c r="M203">
        <v>1.3151872399445199</v>
      </c>
      <c r="N203" t="s">
        <v>23</v>
      </c>
      <c r="O203">
        <v>0</v>
      </c>
    </row>
    <row r="204" spans="1:15" x14ac:dyDescent="0.35">
      <c r="A204">
        <v>203</v>
      </c>
      <c r="B204" t="s">
        <v>15</v>
      </c>
      <c r="C204" t="s">
        <v>19</v>
      </c>
      <c r="D204" s="1">
        <v>45447</v>
      </c>
      <c r="E204" t="s">
        <v>17</v>
      </c>
      <c r="F204">
        <v>10</v>
      </c>
      <c r="G204">
        <v>107</v>
      </c>
      <c r="H204">
        <v>19</v>
      </c>
      <c r="I204">
        <v>4420</v>
      </c>
      <c r="J204">
        <v>100</v>
      </c>
      <c r="K204">
        <v>516</v>
      </c>
      <c r="L204">
        <v>657</v>
      </c>
      <c r="M204">
        <v>1.28800904977375</v>
      </c>
      <c r="N204" t="s">
        <v>23</v>
      </c>
      <c r="O204">
        <v>0</v>
      </c>
    </row>
    <row r="205" spans="1:15" x14ac:dyDescent="0.35">
      <c r="A205">
        <v>204</v>
      </c>
      <c r="B205" t="s">
        <v>15</v>
      </c>
      <c r="C205" t="s">
        <v>19</v>
      </c>
      <c r="D205" s="1">
        <v>45464</v>
      </c>
      <c r="E205" t="s">
        <v>30</v>
      </c>
      <c r="F205">
        <v>14</v>
      </c>
      <c r="G205">
        <v>127</v>
      </c>
      <c r="H205">
        <v>18</v>
      </c>
      <c r="I205">
        <v>4667</v>
      </c>
      <c r="J205">
        <v>47</v>
      </c>
      <c r="K205">
        <v>31</v>
      </c>
      <c r="L205">
        <v>84</v>
      </c>
      <c r="M205">
        <v>1.03471180629955</v>
      </c>
      <c r="N205" t="s">
        <v>23</v>
      </c>
      <c r="O205">
        <v>0</v>
      </c>
    </row>
    <row r="206" spans="1:15" x14ac:dyDescent="0.35">
      <c r="A206">
        <v>205</v>
      </c>
      <c r="B206" t="s">
        <v>26</v>
      </c>
      <c r="C206" t="s">
        <v>24</v>
      </c>
      <c r="D206" s="1">
        <v>45505</v>
      </c>
      <c r="E206" t="s">
        <v>27</v>
      </c>
      <c r="F206">
        <v>21</v>
      </c>
      <c r="G206">
        <v>145</v>
      </c>
      <c r="H206">
        <v>12</v>
      </c>
      <c r="I206">
        <v>298</v>
      </c>
      <c r="J206">
        <v>514</v>
      </c>
      <c r="K206">
        <v>560</v>
      </c>
      <c r="L206">
        <v>297</v>
      </c>
      <c r="M206">
        <v>5.60067114093959</v>
      </c>
      <c r="N206" t="s">
        <v>18</v>
      </c>
      <c r="O206">
        <v>1</v>
      </c>
    </row>
    <row r="207" spans="1:15" x14ac:dyDescent="0.35">
      <c r="A207">
        <v>206</v>
      </c>
      <c r="B207" t="s">
        <v>22</v>
      </c>
      <c r="C207" t="s">
        <v>24</v>
      </c>
      <c r="D207" s="1">
        <v>45444</v>
      </c>
      <c r="E207" t="s">
        <v>28</v>
      </c>
      <c r="F207">
        <v>21</v>
      </c>
      <c r="G207">
        <v>257</v>
      </c>
      <c r="H207">
        <v>6</v>
      </c>
      <c r="I207">
        <v>3765</v>
      </c>
      <c r="J207">
        <v>79</v>
      </c>
      <c r="K207">
        <v>63</v>
      </c>
      <c r="L207">
        <v>162</v>
      </c>
      <c r="M207">
        <v>1.08074369189907</v>
      </c>
      <c r="N207" t="s">
        <v>23</v>
      </c>
      <c r="O207">
        <v>0</v>
      </c>
    </row>
    <row r="208" spans="1:15" x14ac:dyDescent="0.35">
      <c r="A208">
        <v>207</v>
      </c>
      <c r="B208" t="s">
        <v>22</v>
      </c>
      <c r="C208" t="s">
        <v>16</v>
      </c>
      <c r="D208" s="1">
        <v>45466</v>
      </c>
      <c r="E208" t="s">
        <v>20</v>
      </c>
      <c r="F208">
        <v>17</v>
      </c>
      <c r="G208">
        <v>283</v>
      </c>
      <c r="H208">
        <v>17</v>
      </c>
      <c r="I208">
        <v>1226</v>
      </c>
      <c r="J208">
        <v>325</v>
      </c>
      <c r="K208">
        <v>328</v>
      </c>
      <c r="L208">
        <v>354</v>
      </c>
      <c r="M208">
        <v>1.8213703099510601</v>
      </c>
      <c r="N208" t="s">
        <v>21</v>
      </c>
      <c r="O208">
        <v>0</v>
      </c>
    </row>
    <row r="209" spans="1:15" x14ac:dyDescent="0.35">
      <c r="A209">
        <v>208</v>
      </c>
      <c r="B209" t="s">
        <v>22</v>
      </c>
      <c r="C209" t="s">
        <v>24</v>
      </c>
      <c r="D209" s="1">
        <v>45346</v>
      </c>
      <c r="E209" t="s">
        <v>28</v>
      </c>
      <c r="F209">
        <v>13</v>
      </c>
      <c r="G209">
        <v>92</v>
      </c>
      <c r="H209">
        <v>3</v>
      </c>
      <c r="I209">
        <v>2664</v>
      </c>
      <c r="J209">
        <v>252</v>
      </c>
      <c r="K209">
        <v>479</v>
      </c>
      <c r="L209">
        <v>126</v>
      </c>
      <c r="M209">
        <v>1.3216966966966901</v>
      </c>
      <c r="N209" t="s">
        <v>23</v>
      </c>
      <c r="O209">
        <v>0</v>
      </c>
    </row>
    <row r="210" spans="1:15" x14ac:dyDescent="0.35">
      <c r="A210">
        <v>209</v>
      </c>
      <c r="B210" t="s">
        <v>15</v>
      </c>
      <c r="C210" t="s">
        <v>24</v>
      </c>
      <c r="D210" s="1">
        <v>45317</v>
      </c>
      <c r="E210" t="s">
        <v>30</v>
      </c>
      <c r="F210">
        <v>16</v>
      </c>
      <c r="G210">
        <v>117</v>
      </c>
      <c r="H210">
        <v>5</v>
      </c>
      <c r="I210">
        <v>2427</v>
      </c>
      <c r="J210">
        <v>398</v>
      </c>
      <c r="K210">
        <v>430</v>
      </c>
      <c r="L210">
        <v>255</v>
      </c>
      <c r="M210">
        <v>1.44622991347342</v>
      </c>
      <c r="N210" t="s">
        <v>23</v>
      </c>
      <c r="O210">
        <v>0</v>
      </c>
    </row>
    <row r="211" spans="1:15" x14ac:dyDescent="0.35">
      <c r="A211">
        <v>210</v>
      </c>
      <c r="B211" t="s">
        <v>22</v>
      </c>
      <c r="C211" t="s">
        <v>16</v>
      </c>
      <c r="D211" s="1">
        <v>45547</v>
      </c>
      <c r="E211" t="s">
        <v>27</v>
      </c>
      <c r="F211">
        <v>8</v>
      </c>
      <c r="G211">
        <v>221</v>
      </c>
      <c r="H211">
        <v>16</v>
      </c>
      <c r="I211">
        <v>4266</v>
      </c>
      <c r="J211">
        <v>483</v>
      </c>
      <c r="K211">
        <v>512</v>
      </c>
      <c r="L211">
        <v>316</v>
      </c>
      <c r="M211">
        <v>1.30731364275668</v>
      </c>
      <c r="N211" t="s">
        <v>23</v>
      </c>
      <c r="O211">
        <v>0</v>
      </c>
    </row>
    <row r="212" spans="1:15" x14ac:dyDescent="0.35">
      <c r="A212">
        <v>211</v>
      </c>
      <c r="B212" t="s">
        <v>15</v>
      </c>
      <c r="C212" t="s">
        <v>16</v>
      </c>
      <c r="D212" s="1">
        <v>45526</v>
      </c>
      <c r="E212" t="s">
        <v>27</v>
      </c>
      <c r="F212">
        <v>15</v>
      </c>
      <c r="G212">
        <v>273</v>
      </c>
      <c r="H212">
        <v>19</v>
      </c>
      <c r="I212">
        <v>2022</v>
      </c>
      <c r="J212">
        <v>225</v>
      </c>
      <c r="K212">
        <v>599</v>
      </c>
      <c r="L212">
        <v>362</v>
      </c>
      <c r="M212">
        <v>1.5865479723046401</v>
      </c>
      <c r="N212" t="s">
        <v>23</v>
      </c>
      <c r="O212">
        <v>0</v>
      </c>
    </row>
    <row r="213" spans="1:15" x14ac:dyDescent="0.35">
      <c r="A213">
        <v>212</v>
      </c>
      <c r="B213" t="s">
        <v>22</v>
      </c>
      <c r="C213" t="s">
        <v>16</v>
      </c>
      <c r="D213" s="1">
        <v>45532</v>
      </c>
      <c r="E213" t="s">
        <v>25</v>
      </c>
      <c r="F213">
        <v>14</v>
      </c>
      <c r="G213">
        <v>207</v>
      </c>
      <c r="H213">
        <v>12</v>
      </c>
      <c r="I213">
        <v>2390</v>
      </c>
      <c r="J213">
        <v>554</v>
      </c>
      <c r="K213">
        <v>10</v>
      </c>
      <c r="L213">
        <v>111</v>
      </c>
      <c r="M213">
        <v>1.2824267782426699</v>
      </c>
      <c r="N213" t="s">
        <v>23</v>
      </c>
      <c r="O213">
        <v>0</v>
      </c>
    </row>
    <row r="214" spans="1:15" x14ac:dyDescent="0.35">
      <c r="A214">
        <v>213</v>
      </c>
      <c r="B214" t="s">
        <v>26</v>
      </c>
      <c r="C214" t="s">
        <v>16</v>
      </c>
      <c r="D214" s="1">
        <v>45479</v>
      </c>
      <c r="E214" t="s">
        <v>28</v>
      </c>
      <c r="F214">
        <v>17</v>
      </c>
      <c r="G214">
        <v>167</v>
      </c>
      <c r="H214">
        <v>2</v>
      </c>
      <c r="I214">
        <v>420</v>
      </c>
      <c r="J214">
        <v>415</v>
      </c>
      <c r="K214">
        <v>54</v>
      </c>
      <c r="L214">
        <v>584</v>
      </c>
      <c r="M214">
        <v>3.50714285714285</v>
      </c>
      <c r="N214" t="s">
        <v>18</v>
      </c>
      <c r="O214">
        <v>0</v>
      </c>
    </row>
    <row r="215" spans="1:15" x14ac:dyDescent="0.35">
      <c r="A215">
        <v>214</v>
      </c>
      <c r="B215" t="s">
        <v>26</v>
      </c>
      <c r="C215" t="s">
        <v>19</v>
      </c>
      <c r="D215" s="1">
        <v>45489</v>
      </c>
      <c r="E215" t="s">
        <v>17</v>
      </c>
      <c r="F215">
        <v>9</v>
      </c>
      <c r="G215">
        <v>85</v>
      </c>
      <c r="H215">
        <v>3</v>
      </c>
      <c r="I215">
        <v>4180</v>
      </c>
      <c r="J215">
        <v>466</v>
      </c>
      <c r="K215">
        <v>565</v>
      </c>
      <c r="L215">
        <v>287</v>
      </c>
      <c r="M215">
        <v>1.3153110047846801</v>
      </c>
      <c r="N215" t="s">
        <v>23</v>
      </c>
      <c r="O215">
        <v>0</v>
      </c>
    </row>
    <row r="216" spans="1:15" x14ac:dyDescent="0.35">
      <c r="A216">
        <v>215</v>
      </c>
      <c r="B216" t="s">
        <v>15</v>
      </c>
      <c r="C216" t="s">
        <v>16</v>
      </c>
      <c r="D216" s="1">
        <v>45493</v>
      </c>
      <c r="E216" t="s">
        <v>28</v>
      </c>
      <c r="F216">
        <v>22</v>
      </c>
      <c r="G216">
        <v>225</v>
      </c>
      <c r="H216">
        <v>16</v>
      </c>
      <c r="I216">
        <v>3107</v>
      </c>
      <c r="J216">
        <v>352</v>
      </c>
      <c r="K216">
        <v>573</v>
      </c>
      <c r="L216">
        <v>375</v>
      </c>
      <c r="M216">
        <v>1.4184100418409999</v>
      </c>
      <c r="N216" t="s">
        <v>23</v>
      </c>
      <c r="O216">
        <v>0</v>
      </c>
    </row>
    <row r="217" spans="1:15" x14ac:dyDescent="0.35">
      <c r="A217">
        <v>216</v>
      </c>
      <c r="B217" t="s">
        <v>22</v>
      </c>
      <c r="C217" t="s">
        <v>19</v>
      </c>
      <c r="D217" s="1">
        <v>45312</v>
      </c>
      <c r="E217" t="s">
        <v>20</v>
      </c>
      <c r="F217">
        <v>20</v>
      </c>
      <c r="G217">
        <v>96</v>
      </c>
      <c r="H217">
        <v>19</v>
      </c>
      <c r="I217">
        <v>421</v>
      </c>
      <c r="J217">
        <v>44</v>
      </c>
      <c r="K217">
        <v>142</v>
      </c>
      <c r="L217">
        <v>342</v>
      </c>
      <c r="M217">
        <v>2.2541567695962001</v>
      </c>
      <c r="N217" t="s">
        <v>21</v>
      </c>
      <c r="O217">
        <v>0</v>
      </c>
    </row>
    <row r="218" spans="1:15" x14ac:dyDescent="0.35">
      <c r="A218">
        <v>217</v>
      </c>
      <c r="B218" t="s">
        <v>22</v>
      </c>
      <c r="C218" t="s">
        <v>19</v>
      </c>
      <c r="D218" s="1">
        <v>45555</v>
      </c>
      <c r="E218" t="s">
        <v>30</v>
      </c>
      <c r="F218">
        <v>15</v>
      </c>
      <c r="G218">
        <v>192</v>
      </c>
      <c r="H218">
        <v>16</v>
      </c>
      <c r="I218">
        <v>1195</v>
      </c>
      <c r="J218">
        <v>340</v>
      </c>
      <c r="K218">
        <v>328</v>
      </c>
      <c r="L218">
        <v>167</v>
      </c>
      <c r="M218">
        <v>1.69874476987447</v>
      </c>
      <c r="N218" t="s">
        <v>21</v>
      </c>
      <c r="O218">
        <v>0</v>
      </c>
    </row>
    <row r="219" spans="1:15" x14ac:dyDescent="0.35">
      <c r="A219">
        <v>218</v>
      </c>
      <c r="B219" t="s">
        <v>22</v>
      </c>
      <c r="C219" t="s">
        <v>16</v>
      </c>
      <c r="D219" s="1">
        <v>45552</v>
      </c>
      <c r="E219" t="s">
        <v>17</v>
      </c>
      <c r="F219">
        <v>17</v>
      </c>
      <c r="G219">
        <v>189</v>
      </c>
      <c r="H219">
        <v>3</v>
      </c>
      <c r="I219">
        <v>4410</v>
      </c>
      <c r="J219">
        <v>506</v>
      </c>
      <c r="K219">
        <v>578</v>
      </c>
      <c r="L219">
        <v>307</v>
      </c>
      <c r="M219">
        <v>1.3154195011337799</v>
      </c>
      <c r="N219" t="s">
        <v>23</v>
      </c>
      <c r="O219">
        <v>0</v>
      </c>
    </row>
    <row r="220" spans="1:15" x14ac:dyDescent="0.35">
      <c r="A220">
        <v>219</v>
      </c>
      <c r="B220" t="s">
        <v>22</v>
      </c>
      <c r="C220" t="s">
        <v>24</v>
      </c>
      <c r="D220" s="1">
        <v>45505</v>
      </c>
      <c r="E220" t="s">
        <v>27</v>
      </c>
      <c r="F220">
        <v>13</v>
      </c>
      <c r="G220">
        <v>46</v>
      </c>
      <c r="H220">
        <v>18</v>
      </c>
      <c r="I220">
        <v>4831</v>
      </c>
      <c r="J220">
        <v>320</v>
      </c>
      <c r="K220">
        <v>29</v>
      </c>
      <c r="L220">
        <v>612</v>
      </c>
      <c r="M220">
        <v>1.1989236182984799</v>
      </c>
      <c r="N220" t="s">
        <v>23</v>
      </c>
      <c r="O220">
        <v>0</v>
      </c>
    </row>
    <row r="221" spans="1:15" x14ac:dyDescent="0.35">
      <c r="A221">
        <v>220</v>
      </c>
      <c r="B221" t="s">
        <v>26</v>
      </c>
      <c r="C221" t="s">
        <v>16</v>
      </c>
      <c r="D221" s="1">
        <v>45537</v>
      </c>
      <c r="E221" t="s">
        <v>29</v>
      </c>
      <c r="F221">
        <v>7</v>
      </c>
      <c r="G221">
        <v>76</v>
      </c>
      <c r="H221">
        <v>6</v>
      </c>
      <c r="I221">
        <v>1446</v>
      </c>
      <c r="J221">
        <v>541</v>
      </c>
      <c r="K221">
        <v>391</v>
      </c>
      <c r="L221">
        <v>152</v>
      </c>
      <c r="M221">
        <v>1.7496542185338799</v>
      </c>
      <c r="N221" t="s">
        <v>21</v>
      </c>
      <c r="O221">
        <v>0</v>
      </c>
    </row>
    <row r="222" spans="1:15" x14ac:dyDescent="0.35">
      <c r="A222">
        <v>221</v>
      </c>
      <c r="B222" t="s">
        <v>22</v>
      </c>
      <c r="C222" t="s">
        <v>19</v>
      </c>
      <c r="D222" s="1">
        <v>45301</v>
      </c>
      <c r="E222" t="s">
        <v>25</v>
      </c>
      <c r="F222">
        <v>12</v>
      </c>
      <c r="G222">
        <v>230</v>
      </c>
      <c r="H222">
        <v>16</v>
      </c>
      <c r="I222">
        <v>3662</v>
      </c>
      <c r="J222">
        <v>326</v>
      </c>
      <c r="K222">
        <v>430</v>
      </c>
      <c r="L222">
        <v>156</v>
      </c>
      <c r="M222">
        <v>1.2490442381212401</v>
      </c>
      <c r="N222" t="s">
        <v>23</v>
      </c>
      <c r="O222">
        <v>0</v>
      </c>
    </row>
    <row r="223" spans="1:15" x14ac:dyDescent="0.35">
      <c r="A223">
        <v>222</v>
      </c>
      <c r="B223" t="s">
        <v>15</v>
      </c>
      <c r="C223" t="s">
        <v>19</v>
      </c>
      <c r="D223" s="1">
        <v>45533</v>
      </c>
      <c r="E223" t="s">
        <v>27</v>
      </c>
      <c r="F223">
        <v>16</v>
      </c>
      <c r="G223">
        <v>264</v>
      </c>
      <c r="H223">
        <v>16</v>
      </c>
      <c r="I223">
        <v>560</v>
      </c>
      <c r="J223">
        <v>727</v>
      </c>
      <c r="K223">
        <v>143</v>
      </c>
      <c r="L223">
        <v>532</v>
      </c>
      <c r="M223">
        <v>3.5035714285714201</v>
      </c>
      <c r="N223" t="s">
        <v>18</v>
      </c>
      <c r="O223">
        <v>0</v>
      </c>
    </row>
    <row r="224" spans="1:15" x14ac:dyDescent="0.35">
      <c r="A224">
        <v>223</v>
      </c>
      <c r="B224" t="s">
        <v>22</v>
      </c>
      <c r="C224" t="s">
        <v>19</v>
      </c>
      <c r="D224" s="1">
        <v>45484</v>
      </c>
      <c r="E224" t="s">
        <v>27</v>
      </c>
      <c r="F224">
        <v>17</v>
      </c>
      <c r="G224">
        <v>155</v>
      </c>
      <c r="H224">
        <v>19</v>
      </c>
      <c r="I224">
        <v>2620</v>
      </c>
      <c r="J224">
        <v>182</v>
      </c>
      <c r="K224">
        <v>472</v>
      </c>
      <c r="L224">
        <v>546</v>
      </c>
      <c r="M224">
        <v>1.45801526717557</v>
      </c>
      <c r="N224" t="s">
        <v>23</v>
      </c>
      <c r="O224">
        <v>0</v>
      </c>
    </row>
    <row r="225" spans="1:15" x14ac:dyDescent="0.35">
      <c r="A225">
        <v>224</v>
      </c>
      <c r="B225" t="s">
        <v>22</v>
      </c>
      <c r="C225" t="s">
        <v>16</v>
      </c>
      <c r="D225" s="1">
        <v>45539</v>
      </c>
      <c r="E225" t="s">
        <v>25</v>
      </c>
      <c r="F225">
        <v>15</v>
      </c>
      <c r="G225">
        <v>167</v>
      </c>
      <c r="H225">
        <v>6</v>
      </c>
      <c r="I225">
        <v>1625</v>
      </c>
      <c r="J225">
        <v>257</v>
      </c>
      <c r="K225">
        <v>287</v>
      </c>
      <c r="L225">
        <v>572</v>
      </c>
      <c r="M225">
        <v>1.6867692307692299</v>
      </c>
      <c r="N225" t="s">
        <v>21</v>
      </c>
      <c r="O225">
        <v>0</v>
      </c>
    </row>
    <row r="226" spans="1:15" x14ac:dyDescent="0.35">
      <c r="A226">
        <v>225</v>
      </c>
      <c r="B226" t="s">
        <v>26</v>
      </c>
      <c r="C226" t="s">
        <v>24</v>
      </c>
      <c r="D226" s="1">
        <v>45542</v>
      </c>
      <c r="E226" t="s">
        <v>28</v>
      </c>
      <c r="F226">
        <v>15</v>
      </c>
      <c r="G226">
        <v>82</v>
      </c>
      <c r="H226">
        <v>18</v>
      </c>
      <c r="I226">
        <v>2647</v>
      </c>
      <c r="J226">
        <v>496</v>
      </c>
      <c r="K226">
        <v>359</v>
      </c>
      <c r="L226">
        <v>574</v>
      </c>
      <c r="M226">
        <v>1.5398564412542499</v>
      </c>
      <c r="N226" t="s">
        <v>23</v>
      </c>
      <c r="O226">
        <v>0</v>
      </c>
    </row>
    <row r="227" spans="1:15" x14ac:dyDescent="0.35">
      <c r="A227">
        <v>226</v>
      </c>
      <c r="B227" t="s">
        <v>22</v>
      </c>
      <c r="C227" t="s">
        <v>16</v>
      </c>
      <c r="D227" s="1">
        <v>45570</v>
      </c>
      <c r="E227" t="s">
        <v>28</v>
      </c>
      <c r="F227">
        <v>15</v>
      </c>
      <c r="G227">
        <v>60</v>
      </c>
      <c r="H227">
        <v>11</v>
      </c>
      <c r="I227">
        <v>3160</v>
      </c>
      <c r="J227">
        <v>409</v>
      </c>
      <c r="K227">
        <v>355</v>
      </c>
      <c r="L227">
        <v>150</v>
      </c>
      <c r="M227">
        <v>1.2892405063291099</v>
      </c>
      <c r="N227" t="s">
        <v>23</v>
      </c>
      <c r="O227">
        <v>0</v>
      </c>
    </row>
    <row r="228" spans="1:15" x14ac:dyDescent="0.35">
      <c r="A228">
        <v>227</v>
      </c>
      <c r="B228" t="s">
        <v>15</v>
      </c>
      <c r="C228" t="s">
        <v>19</v>
      </c>
      <c r="D228" s="1">
        <v>45518</v>
      </c>
      <c r="E228" t="s">
        <v>25</v>
      </c>
      <c r="F228">
        <v>14</v>
      </c>
      <c r="G228">
        <v>159</v>
      </c>
      <c r="H228">
        <v>4</v>
      </c>
      <c r="I228">
        <v>2150</v>
      </c>
      <c r="J228">
        <v>770</v>
      </c>
      <c r="K228">
        <v>492</v>
      </c>
      <c r="L228">
        <v>220</v>
      </c>
      <c r="M228">
        <v>1.6893023255813899</v>
      </c>
      <c r="N228" t="s">
        <v>21</v>
      </c>
      <c r="O228">
        <v>0</v>
      </c>
    </row>
    <row r="229" spans="1:15" x14ac:dyDescent="0.35">
      <c r="A229">
        <v>228</v>
      </c>
      <c r="B229" t="s">
        <v>26</v>
      </c>
      <c r="C229" t="s">
        <v>19</v>
      </c>
      <c r="D229" s="1">
        <v>45347</v>
      </c>
      <c r="E229" t="s">
        <v>20</v>
      </c>
      <c r="F229">
        <v>13</v>
      </c>
      <c r="G229">
        <v>139</v>
      </c>
      <c r="H229">
        <v>1</v>
      </c>
      <c r="I229">
        <v>4857</v>
      </c>
      <c r="J229">
        <v>250</v>
      </c>
      <c r="K229">
        <v>250</v>
      </c>
      <c r="L229">
        <v>52</v>
      </c>
      <c r="M229">
        <v>1.11365040148239</v>
      </c>
      <c r="N229" t="s">
        <v>23</v>
      </c>
      <c r="O229">
        <v>0</v>
      </c>
    </row>
    <row r="230" spans="1:15" x14ac:dyDescent="0.35">
      <c r="A230">
        <v>229</v>
      </c>
      <c r="B230" t="s">
        <v>26</v>
      </c>
      <c r="C230" t="s">
        <v>16</v>
      </c>
      <c r="D230" s="1">
        <v>45343</v>
      </c>
      <c r="E230" t="s">
        <v>25</v>
      </c>
      <c r="F230">
        <v>6</v>
      </c>
      <c r="G230">
        <v>100</v>
      </c>
      <c r="H230">
        <v>13</v>
      </c>
      <c r="I230">
        <v>3435</v>
      </c>
      <c r="J230">
        <v>343</v>
      </c>
      <c r="K230">
        <v>485</v>
      </c>
      <c r="L230">
        <v>103</v>
      </c>
      <c r="M230">
        <v>1.2710334788937401</v>
      </c>
      <c r="N230" t="s">
        <v>23</v>
      </c>
      <c r="O230">
        <v>0</v>
      </c>
    </row>
    <row r="231" spans="1:15" x14ac:dyDescent="0.35">
      <c r="A231">
        <v>230</v>
      </c>
      <c r="B231" t="s">
        <v>22</v>
      </c>
      <c r="C231" t="s">
        <v>24</v>
      </c>
      <c r="D231" s="1">
        <v>45535</v>
      </c>
      <c r="E231" t="s">
        <v>28</v>
      </c>
      <c r="F231">
        <v>7</v>
      </c>
      <c r="G231">
        <v>65</v>
      </c>
      <c r="H231">
        <v>20</v>
      </c>
      <c r="I231">
        <v>3961</v>
      </c>
      <c r="J231">
        <v>671</v>
      </c>
      <c r="K231">
        <v>206</v>
      </c>
      <c r="L231">
        <v>295</v>
      </c>
      <c r="M231">
        <v>1.29588487755617</v>
      </c>
      <c r="N231" t="s">
        <v>23</v>
      </c>
      <c r="O231">
        <v>0</v>
      </c>
    </row>
    <row r="232" spans="1:15" x14ac:dyDescent="0.35">
      <c r="A232">
        <v>231</v>
      </c>
      <c r="B232" t="s">
        <v>22</v>
      </c>
      <c r="C232" t="s">
        <v>16</v>
      </c>
      <c r="D232" s="1">
        <v>45585</v>
      </c>
      <c r="E232" t="s">
        <v>20</v>
      </c>
      <c r="F232">
        <v>7</v>
      </c>
      <c r="G232">
        <v>223</v>
      </c>
      <c r="H232">
        <v>15</v>
      </c>
      <c r="I232">
        <v>1952</v>
      </c>
      <c r="J232">
        <v>552</v>
      </c>
      <c r="K232">
        <v>40</v>
      </c>
      <c r="L232">
        <v>180</v>
      </c>
      <c r="M232">
        <v>1.3954918032786801</v>
      </c>
      <c r="N232" t="s">
        <v>23</v>
      </c>
      <c r="O232">
        <v>0</v>
      </c>
    </row>
    <row r="233" spans="1:15" x14ac:dyDescent="0.35">
      <c r="A233">
        <v>232</v>
      </c>
      <c r="B233" t="s">
        <v>26</v>
      </c>
      <c r="C233" t="s">
        <v>19</v>
      </c>
      <c r="D233" s="1">
        <v>45387</v>
      </c>
      <c r="E233" t="s">
        <v>30</v>
      </c>
      <c r="F233">
        <v>9</v>
      </c>
      <c r="G233">
        <v>191</v>
      </c>
      <c r="H233">
        <v>9</v>
      </c>
      <c r="I233">
        <v>2421</v>
      </c>
      <c r="J233">
        <v>43</v>
      </c>
      <c r="K233">
        <v>11</v>
      </c>
      <c r="L233">
        <v>306</v>
      </c>
      <c r="M233">
        <v>1.1486988847583599</v>
      </c>
      <c r="N233" t="s">
        <v>23</v>
      </c>
      <c r="O233">
        <v>0</v>
      </c>
    </row>
    <row r="234" spans="1:15" x14ac:dyDescent="0.35">
      <c r="A234">
        <v>233</v>
      </c>
      <c r="B234" t="s">
        <v>26</v>
      </c>
      <c r="C234" t="s">
        <v>24</v>
      </c>
      <c r="D234" s="1">
        <v>45524</v>
      </c>
      <c r="E234" t="s">
        <v>17</v>
      </c>
      <c r="F234">
        <v>14</v>
      </c>
      <c r="G234">
        <v>118</v>
      </c>
      <c r="H234">
        <v>3</v>
      </c>
      <c r="I234">
        <v>4500</v>
      </c>
      <c r="J234">
        <v>541</v>
      </c>
      <c r="K234">
        <v>507</v>
      </c>
      <c r="L234">
        <v>138</v>
      </c>
      <c r="M234">
        <v>1.26355555555555</v>
      </c>
      <c r="N234" t="s">
        <v>23</v>
      </c>
      <c r="O234">
        <v>0</v>
      </c>
    </row>
    <row r="235" spans="1:15" x14ac:dyDescent="0.35">
      <c r="A235">
        <v>234</v>
      </c>
      <c r="B235" t="s">
        <v>22</v>
      </c>
      <c r="C235" t="s">
        <v>19</v>
      </c>
      <c r="D235" s="1">
        <v>45461</v>
      </c>
      <c r="E235" t="s">
        <v>17</v>
      </c>
      <c r="F235">
        <v>11</v>
      </c>
      <c r="G235">
        <v>27</v>
      </c>
      <c r="H235">
        <v>10</v>
      </c>
      <c r="I235">
        <v>1381</v>
      </c>
      <c r="J235">
        <v>753</v>
      </c>
      <c r="K235">
        <v>471</v>
      </c>
      <c r="L235">
        <v>664</v>
      </c>
      <c r="M235">
        <v>2.3671252715423599</v>
      </c>
      <c r="N235" t="s">
        <v>21</v>
      </c>
      <c r="O235">
        <v>0</v>
      </c>
    </row>
    <row r="236" spans="1:15" x14ac:dyDescent="0.35">
      <c r="A236">
        <v>235</v>
      </c>
      <c r="B236" t="s">
        <v>26</v>
      </c>
      <c r="C236" t="s">
        <v>19</v>
      </c>
      <c r="D236" s="1">
        <v>45443</v>
      </c>
      <c r="E236" t="s">
        <v>30</v>
      </c>
      <c r="F236">
        <v>18</v>
      </c>
      <c r="G236">
        <v>238</v>
      </c>
      <c r="H236">
        <v>16</v>
      </c>
      <c r="I236">
        <v>4701</v>
      </c>
      <c r="J236">
        <v>695</v>
      </c>
      <c r="K236">
        <v>199</v>
      </c>
      <c r="L236">
        <v>180</v>
      </c>
      <c r="M236">
        <v>1.22846202935545</v>
      </c>
      <c r="N236" t="s">
        <v>23</v>
      </c>
      <c r="O236">
        <v>0</v>
      </c>
    </row>
    <row r="237" spans="1:15" x14ac:dyDescent="0.35">
      <c r="A237">
        <v>236</v>
      </c>
      <c r="B237" t="s">
        <v>15</v>
      </c>
      <c r="C237" t="s">
        <v>24</v>
      </c>
      <c r="D237" s="1">
        <v>45459</v>
      </c>
      <c r="E237" t="s">
        <v>20</v>
      </c>
      <c r="F237">
        <v>16</v>
      </c>
      <c r="G237">
        <v>147</v>
      </c>
      <c r="H237">
        <v>0</v>
      </c>
      <c r="I237">
        <v>760</v>
      </c>
      <c r="J237">
        <v>415</v>
      </c>
      <c r="K237">
        <v>99</v>
      </c>
      <c r="L237">
        <v>190</v>
      </c>
      <c r="M237">
        <v>1.92631578947368</v>
      </c>
      <c r="N237" t="s">
        <v>21</v>
      </c>
      <c r="O237">
        <v>0</v>
      </c>
    </row>
    <row r="238" spans="1:15" x14ac:dyDescent="0.35">
      <c r="A238">
        <v>237</v>
      </c>
      <c r="B238" t="s">
        <v>22</v>
      </c>
      <c r="C238" t="s">
        <v>24</v>
      </c>
      <c r="D238" s="1">
        <v>45425</v>
      </c>
      <c r="E238" t="s">
        <v>29</v>
      </c>
      <c r="F238">
        <v>6</v>
      </c>
      <c r="G238">
        <v>153</v>
      </c>
      <c r="H238">
        <v>20</v>
      </c>
      <c r="I238">
        <v>3192</v>
      </c>
      <c r="J238">
        <v>246</v>
      </c>
      <c r="K238">
        <v>459</v>
      </c>
      <c r="L238">
        <v>274</v>
      </c>
      <c r="M238">
        <v>1.3067042606516199</v>
      </c>
      <c r="N238" t="s">
        <v>23</v>
      </c>
      <c r="O238">
        <v>0</v>
      </c>
    </row>
    <row r="239" spans="1:15" x14ac:dyDescent="0.35">
      <c r="A239">
        <v>238</v>
      </c>
      <c r="B239" t="s">
        <v>22</v>
      </c>
      <c r="C239" t="s">
        <v>16</v>
      </c>
      <c r="D239" s="1">
        <v>45476</v>
      </c>
      <c r="E239" t="s">
        <v>25</v>
      </c>
      <c r="F239">
        <v>18</v>
      </c>
      <c r="G239">
        <v>277</v>
      </c>
      <c r="H239">
        <v>9</v>
      </c>
      <c r="I239">
        <v>1985</v>
      </c>
      <c r="J239">
        <v>68</v>
      </c>
      <c r="K239">
        <v>123</v>
      </c>
      <c r="L239">
        <v>477</v>
      </c>
      <c r="M239">
        <v>1.33652392947103</v>
      </c>
      <c r="N239" t="s">
        <v>23</v>
      </c>
      <c r="O239">
        <v>0</v>
      </c>
    </row>
    <row r="240" spans="1:15" x14ac:dyDescent="0.35">
      <c r="A240">
        <v>239</v>
      </c>
      <c r="B240" t="s">
        <v>15</v>
      </c>
      <c r="C240" t="s">
        <v>24</v>
      </c>
      <c r="D240" s="1">
        <v>45352</v>
      </c>
      <c r="E240" t="s">
        <v>30</v>
      </c>
      <c r="F240">
        <v>10</v>
      </c>
      <c r="G240">
        <v>252</v>
      </c>
      <c r="H240">
        <v>19</v>
      </c>
      <c r="I240">
        <v>2466</v>
      </c>
      <c r="J240">
        <v>381</v>
      </c>
      <c r="K240">
        <v>228</v>
      </c>
      <c r="L240">
        <v>225</v>
      </c>
      <c r="M240">
        <v>1.3381995133819899</v>
      </c>
      <c r="N240" t="s">
        <v>23</v>
      </c>
      <c r="O240">
        <v>0</v>
      </c>
    </row>
    <row r="241" spans="1:15" x14ac:dyDescent="0.35">
      <c r="A241">
        <v>240</v>
      </c>
      <c r="B241" t="s">
        <v>26</v>
      </c>
      <c r="C241" t="s">
        <v>19</v>
      </c>
      <c r="D241" s="1">
        <v>45483</v>
      </c>
      <c r="E241" t="s">
        <v>25</v>
      </c>
      <c r="F241">
        <v>12</v>
      </c>
      <c r="G241">
        <v>146</v>
      </c>
      <c r="H241">
        <v>19</v>
      </c>
      <c r="I241">
        <v>3456</v>
      </c>
      <c r="J241">
        <v>723</v>
      </c>
      <c r="K241">
        <v>564</v>
      </c>
      <c r="L241">
        <v>483</v>
      </c>
      <c r="M241">
        <v>1.5121527777777699</v>
      </c>
      <c r="N241" t="s">
        <v>23</v>
      </c>
      <c r="O241">
        <v>0</v>
      </c>
    </row>
    <row r="242" spans="1:15" x14ac:dyDescent="0.35">
      <c r="A242">
        <v>241</v>
      </c>
      <c r="B242" t="s">
        <v>15</v>
      </c>
      <c r="C242" t="s">
        <v>19</v>
      </c>
      <c r="D242" s="1">
        <v>45333</v>
      </c>
      <c r="E242" t="s">
        <v>20</v>
      </c>
      <c r="F242">
        <v>9</v>
      </c>
      <c r="G242">
        <v>51</v>
      </c>
      <c r="H242">
        <v>17</v>
      </c>
      <c r="I242">
        <v>4354</v>
      </c>
      <c r="J242">
        <v>462</v>
      </c>
      <c r="K242">
        <v>542</v>
      </c>
      <c r="L242">
        <v>371</v>
      </c>
      <c r="M242">
        <v>1.31580156178226</v>
      </c>
      <c r="N242" t="s">
        <v>23</v>
      </c>
      <c r="O242">
        <v>0</v>
      </c>
    </row>
    <row r="243" spans="1:15" x14ac:dyDescent="0.35">
      <c r="A243">
        <v>242</v>
      </c>
      <c r="B243" t="s">
        <v>15</v>
      </c>
      <c r="C243" t="s">
        <v>24</v>
      </c>
      <c r="D243" s="1">
        <v>45550</v>
      </c>
      <c r="E243" t="s">
        <v>20</v>
      </c>
      <c r="F243">
        <v>22</v>
      </c>
      <c r="G243">
        <v>246</v>
      </c>
      <c r="H243">
        <v>3</v>
      </c>
      <c r="I243">
        <v>1706</v>
      </c>
      <c r="J243">
        <v>591</v>
      </c>
      <c r="K243">
        <v>551</v>
      </c>
      <c r="L243">
        <v>154</v>
      </c>
      <c r="M243">
        <v>1.7596717467760801</v>
      </c>
      <c r="N243" t="s">
        <v>21</v>
      </c>
      <c r="O243">
        <v>0</v>
      </c>
    </row>
    <row r="244" spans="1:15" x14ac:dyDescent="0.35">
      <c r="A244">
        <v>243</v>
      </c>
      <c r="B244" t="s">
        <v>22</v>
      </c>
      <c r="C244" t="s">
        <v>16</v>
      </c>
      <c r="D244" s="1">
        <v>45397</v>
      </c>
      <c r="E244" t="s">
        <v>29</v>
      </c>
      <c r="F244">
        <v>20</v>
      </c>
      <c r="G244">
        <v>87</v>
      </c>
      <c r="H244">
        <v>16</v>
      </c>
      <c r="I244">
        <v>4827</v>
      </c>
      <c r="J244">
        <v>505</v>
      </c>
      <c r="K244">
        <v>95</v>
      </c>
      <c r="L244">
        <v>523</v>
      </c>
      <c r="M244">
        <v>1.23264967888957</v>
      </c>
      <c r="N244" t="s">
        <v>23</v>
      </c>
      <c r="O244">
        <v>0</v>
      </c>
    </row>
    <row r="245" spans="1:15" x14ac:dyDescent="0.35">
      <c r="A245">
        <v>244</v>
      </c>
      <c r="B245" t="s">
        <v>22</v>
      </c>
      <c r="C245" t="s">
        <v>19</v>
      </c>
      <c r="D245" s="1">
        <v>45504</v>
      </c>
      <c r="E245" t="s">
        <v>25</v>
      </c>
      <c r="F245">
        <v>15</v>
      </c>
      <c r="G245">
        <v>31</v>
      </c>
      <c r="H245">
        <v>12</v>
      </c>
      <c r="I245">
        <v>3792</v>
      </c>
      <c r="J245">
        <v>582</v>
      </c>
      <c r="K245">
        <v>61</v>
      </c>
      <c r="L245">
        <v>573</v>
      </c>
      <c r="M245">
        <v>1.3206751054852299</v>
      </c>
      <c r="N245" t="s">
        <v>23</v>
      </c>
      <c r="O245">
        <v>0</v>
      </c>
    </row>
    <row r="246" spans="1:15" x14ac:dyDescent="0.35">
      <c r="A246">
        <v>245</v>
      </c>
      <c r="B246" t="s">
        <v>15</v>
      </c>
      <c r="C246" t="s">
        <v>16</v>
      </c>
      <c r="D246" s="1">
        <v>45422</v>
      </c>
      <c r="E246" t="s">
        <v>30</v>
      </c>
      <c r="F246">
        <v>19</v>
      </c>
      <c r="G246">
        <v>196</v>
      </c>
      <c r="H246">
        <v>2</v>
      </c>
      <c r="I246">
        <v>74</v>
      </c>
      <c r="J246">
        <v>768</v>
      </c>
      <c r="K246">
        <v>225</v>
      </c>
      <c r="L246">
        <v>593</v>
      </c>
      <c r="M246">
        <v>22.4324324324324</v>
      </c>
      <c r="N246" t="s">
        <v>18</v>
      </c>
      <c r="O246">
        <v>0</v>
      </c>
    </row>
    <row r="247" spans="1:15" x14ac:dyDescent="0.35">
      <c r="A247">
        <v>246</v>
      </c>
      <c r="B247" t="s">
        <v>22</v>
      </c>
      <c r="C247" t="s">
        <v>24</v>
      </c>
      <c r="D247" s="1">
        <v>45569</v>
      </c>
      <c r="E247" t="s">
        <v>30</v>
      </c>
      <c r="F247">
        <v>11</v>
      </c>
      <c r="G247">
        <v>89</v>
      </c>
      <c r="H247">
        <v>20</v>
      </c>
      <c r="I247">
        <v>543</v>
      </c>
      <c r="J247">
        <v>75</v>
      </c>
      <c r="K247">
        <v>485</v>
      </c>
      <c r="L247">
        <v>33</v>
      </c>
      <c r="M247">
        <v>2.0920810313075502</v>
      </c>
      <c r="N247" t="s">
        <v>21</v>
      </c>
      <c r="O247">
        <v>0</v>
      </c>
    </row>
    <row r="248" spans="1:15" x14ac:dyDescent="0.35">
      <c r="A248">
        <v>247</v>
      </c>
      <c r="B248" t="s">
        <v>22</v>
      </c>
      <c r="C248" t="s">
        <v>16</v>
      </c>
      <c r="D248" s="1">
        <v>45507</v>
      </c>
      <c r="E248" t="s">
        <v>28</v>
      </c>
      <c r="F248">
        <v>23</v>
      </c>
      <c r="G248">
        <v>88</v>
      </c>
      <c r="H248">
        <v>20</v>
      </c>
      <c r="I248">
        <v>3117</v>
      </c>
      <c r="J248">
        <v>396</v>
      </c>
      <c r="K248">
        <v>461</v>
      </c>
      <c r="L248">
        <v>387</v>
      </c>
      <c r="M248">
        <v>1.3991017003529</v>
      </c>
      <c r="N248" t="s">
        <v>23</v>
      </c>
      <c r="O248">
        <v>0</v>
      </c>
    </row>
    <row r="249" spans="1:15" x14ac:dyDescent="0.35">
      <c r="A249">
        <v>248</v>
      </c>
      <c r="B249" t="s">
        <v>26</v>
      </c>
      <c r="C249" t="s">
        <v>16</v>
      </c>
      <c r="D249" s="1">
        <v>45470</v>
      </c>
      <c r="E249" t="s">
        <v>27</v>
      </c>
      <c r="F249">
        <v>13</v>
      </c>
      <c r="G249">
        <v>21</v>
      </c>
      <c r="H249">
        <v>0</v>
      </c>
      <c r="I249">
        <v>1021</v>
      </c>
      <c r="J249">
        <v>187</v>
      </c>
      <c r="K249">
        <v>552</v>
      </c>
      <c r="L249">
        <v>403</v>
      </c>
      <c r="M249">
        <v>2.1185112634671799</v>
      </c>
      <c r="N249" t="s">
        <v>21</v>
      </c>
      <c r="O249">
        <v>1</v>
      </c>
    </row>
    <row r="250" spans="1:15" x14ac:dyDescent="0.35">
      <c r="A250">
        <v>249</v>
      </c>
      <c r="B250" t="s">
        <v>26</v>
      </c>
      <c r="C250" t="s">
        <v>24</v>
      </c>
      <c r="D250" s="1">
        <v>45444</v>
      </c>
      <c r="E250" t="s">
        <v>28</v>
      </c>
      <c r="F250">
        <v>13</v>
      </c>
      <c r="G250">
        <v>146</v>
      </c>
      <c r="H250">
        <v>14</v>
      </c>
      <c r="I250">
        <v>3842</v>
      </c>
      <c r="J250">
        <v>694</v>
      </c>
      <c r="K250">
        <v>559</v>
      </c>
      <c r="L250">
        <v>435</v>
      </c>
      <c r="M250">
        <v>1.4393545028630901</v>
      </c>
      <c r="N250" t="s">
        <v>23</v>
      </c>
      <c r="O250">
        <v>0</v>
      </c>
    </row>
    <row r="251" spans="1:15" x14ac:dyDescent="0.35">
      <c r="A251">
        <v>250</v>
      </c>
      <c r="B251" t="s">
        <v>15</v>
      </c>
      <c r="C251" t="s">
        <v>19</v>
      </c>
      <c r="D251" s="1">
        <v>45469</v>
      </c>
      <c r="E251" t="s">
        <v>25</v>
      </c>
      <c r="F251">
        <v>19</v>
      </c>
      <c r="G251">
        <v>28</v>
      </c>
      <c r="H251">
        <v>7</v>
      </c>
      <c r="I251">
        <v>1320</v>
      </c>
      <c r="J251">
        <v>287</v>
      </c>
      <c r="K251">
        <v>195</v>
      </c>
      <c r="L251">
        <v>116</v>
      </c>
      <c r="M251">
        <v>1.4530303030303</v>
      </c>
      <c r="N251" t="s">
        <v>23</v>
      </c>
      <c r="O251">
        <v>0</v>
      </c>
    </row>
    <row r="252" spans="1:15" x14ac:dyDescent="0.35">
      <c r="A252">
        <v>251</v>
      </c>
      <c r="B252" t="s">
        <v>26</v>
      </c>
      <c r="C252" t="s">
        <v>19</v>
      </c>
      <c r="D252" s="1">
        <v>45397</v>
      </c>
      <c r="E252" t="s">
        <v>29</v>
      </c>
      <c r="F252">
        <v>7</v>
      </c>
      <c r="G252">
        <v>145</v>
      </c>
      <c r="H252">
        <v>1</v>
      </c>
      <c r="I252">
        <v>601</v>
      </c>
      <c r="J252">
        <v>108</v>
      </c>
      <c r="K252">
        <v>36</v>
      </c>
      <c r="L252">
        <v>458</v>
      </c>
      <c r="M252">
        <v>2.00166389351081</v>
      </c>
      <c r="N252" t="s">
        <v>21</v>
      </c>
      <c r="O252">
        <v>0</v>
      </c>
    </row>
    <row r="253" spans="1:15" x14ac:dyDescent="0.35">
      <c r="A253">
        <v>252</v>
      </c>
      <c r="B253" t="s">
        <v>15</v>
      </c>
      <c r="C253" t="s">
        <v>16</v>
      </c>
      <c r="D253" s="1">
        <v>45497</v>
      </c>
      <c r="E253" t="s">
        <v>25</v>
      </c>
      <c r="F253">
        <v>22</v>
      </c>
      <c r="G253">
        <v>168</v>
      </c>
      <c r="H253">
        <v>7</v>
      </c>
      <c r="I253">
        <v>3645</v>
      </c>
      <c r="J253">
        <v>244</v>
      </c>
      <c r="K253">
        <v>554</v>
      </c>
      <c r="L253">
        <v>223</v>
      </c>
      <c r="M253">
        <v>1.28010973936899</v>
      </c>
      <c r="N253" t="s">
        <v>23</v>
      </c>
      <c r="O253">
        <v>0</v>
      </c>
    </row>
    <row r="254" spans="1:15" x14ac:dyDescent="0.35">
      <c r="A254">
        <v>253</v>
      </c>
      <c r="B254" t="s">
        <v>22</v>
      </c>
      <c r="C254" t="s">
        <v>16</v>
      </c>
      <c r="D254" s="1">
        <v>45586</v>
      </c>
      <c r="E254" t="s">
        <v>29</v>
      </c>
      <c r="F254">
        <v>22</v>
      </c>
      <c r="G254">
        <v>133</v>
      </c>
      <c r="H254">
        <v>13</v>
      </c>
      <c r="I254">
        <v>2662</v>
      </c>
      <c r="J254">
        <v>596</v>
      </c>
      <c r="K254">
        <v>330</v>
      </c>
      <c r="L254">
        <v>243</v>
      </c>
      <c r="M254">
        <v>1.43914350112697</v>
      </c>
      <c r="N254" t="s">
        <v>23</v>
      </c>
      <c r="O254">
        <v>0</v>
      </c>
    </row>
    <row r="255" spans="1:15" x14ac:dyDescent="0.35">
      <c r="A255">
        <v>254</v>
      </c>
      <c r="B255" t="s">
        <v>26</v>
      </c>
      <c r="C255" t="s">
        <v>16</v>
      </c>
      <c r="D255" s="1">
        <v>45445</v>
      </c>
      <c r="E255" t="s">
        <v>20</v>
      </c>
      <c r="F255">
        <v>19</v>
      </c>
      <c r="G255">
        <v>273</v>
      </c>
      <c r="H255">
        <v>1</v>
      </c>
      <c r="I255">
        <v>2304</v>
      </c>
      <c r="J255">
        <v>67</v>
      </c>
      <c r="K255">
        <v>572</v>
      </c>
      <c r="L255">
        <v>606</v>
      </c>
      <c r="M255">
        <v>1.5403645833333299</v>
      </c>
      <c r="N255" t="s">
        <v>23</v>
      </c>
      <c r="O255">
        <v>0</v>
      </c>
    </row>
    <row r="256" spans="1:15" x14ac:dyDescent="0.35">
      <c r="A256">
        <v>255</v>
      </c>
      <c r="B256" t="s">
        <v>22</v>
      </c>
      <c r="C256" t="s">
        <v>16</v>
      </c>
      <c r="D256" s="1">
        <v>45468</v>
      </c>
      <c r="E256" t="s">
        <v>17</v>
      </c>
      <c r="F256">
        <v>15</v>
      </c>
      <c r="G256">
        <v>212</v>
      </c>
      <c r="H256">
        <v>5</v>
      </c>
      <c r="I256">
        <v>3172</v>
      </c>
      <c r="J256">
        <v>542</v>
      </c>
      <c r="K256">
        <v>328</v>
      </c>
      <c r="L256">
        <v>427</v>
      </c>
      <c r="M256">
        <v>1.40889029003783</v>
      </c>
      <c r="N256" t="s">
        <v>23</v>
      </c>
      <c r="O256">
        <v>0</v>
      </c>
    </row>
    <row r="257" spans="1:15" x14ac:dyDescent="0.35">
      <c r="A257">
        <v>256</v>
      </c>
      <c r="B257" t="s">
        <v>26</v>
      </c>
      <c r="C257" t="s">
        <v>16</v>
      </c>
      <c r="D257" s="1">
        <v>45567</v>
      </c>
      <c r="E257" t="s">
        <v>25</v>
      </c>
      <c r="F257">
        <v>20</v>
      </c>
      <c r="G257">
        <v>49</v>
      </c>
      <c r="H257">
        <v>17</v>
      </c>
      <c r="I257">
        <v>3929</v>
      </c>
      <c r="J257">
        <v>251</v>
      </c>
      <c r="K257">
        <v>232</v>
      </c>
      <c r="L257">
        <v>308</v>
      </c>
      <c r="M257">
        <v>1.2013234919826901</v>
      </c>
      <c r="N257" t="s">
        <v>23</v>
      </c>
      <c r="O257">
        <v>0</v>
      </c>
    </row>
    <row r="258" spans="1:15" x14ac:dyDescent="0.35">
      <c r="A258">
        <v>257</v>
      </c>
      <c r="B258" t="s">
        <v>22</v>
      </c>
      <c r="C258" t="s">
        <v>16</v>
      </c>
      <c r="D258" s="1">
        <v>45503</v>
      </c>
      <c r="E258" t="s">
        <v>17</v>
      </c>
      <c r="F258">
        <v>14</v>
      </c>
      <c r="G258">
        <v>124</v>
      </c>
      <c r="H258">
        <v>10</v>
      </c>
      <c r="I258">
        <v>3462</v>
      </c>
      <c r="J258">
        <v>575</v>
      </c>
      <c r="K258">
        <v>544</v>
      </c>
      <c r="L258">
        <v>138</v>
      </c>
      <c r="M258">
        <v>1.36308492201039</v>
      </c>
      <c r="N258" t="s">
        <v>23</v>
      </c>
      <c r="O258">
        <v>0</v>
      </c>
    </row>
    <row r="259" spans="1:15" x14ac:dyDescent="0.35">
      <c r="A259">
        <v>258</v>
      </c>
      <c r="B259" t="s">
        <v>26</v>
      </c>
      <c r="C259" t="s">
        <v>16</v>
      </c>
      <c r="D259" s="1">
        <v>45332</v>
      </c>
      <c r="E259" t="s">
        <v>28</v>
      </c>
      <c r="F259">
        <v>7</v>
      </c>
      <c r="G259">
        <v>157</v>
      </c>
      <c r="H259">
        <v>12</v>
      </c>
      <c r="I259">
        <v>3734</v>
      </c>
      <c r="J259">
        <v>384</v>
      </c>
      <c r="K259">
        <v>96</v>
      </c>
      <c r="L259">
        <v>549</v>
      </c>
      <c r="M259">
        <v>1.27557579003749</v>
      </c>
      <c r="N259" t="s">
        <v>23</v>
      </c>
      <c r="O259">
        <v>0</v>
      </c>
    </row>
    <row r="260" spans="1:15" x14ac:dyDescent="0.35">
      <c r="A260">
        <v>259</v>
      </c>
      <c r="B260" t="s">
        <v>22</v>
      </c>
      <c r="C260" t="s">
        <v>16</v>
      </c>
      <c r="D260" s="1">
        <v>45312</v>
      </c>
      <c r="E260" t="s">
        <v>20</v>
      </c>
      <c r="F260">
        <v>16</v>
      </c>
      <c r="G260">
        <v>175</v>
      </c>
      <c r="H260">
        <v>0</v>
      </c>
      <c r="I260">
        <v>646</v>
      </c>
      <c r="J260">
        <v>197</v>
      </c>
      <c r="K260">
        <v>574</v>
      </c>
      <c r="L260">
        <v>223</v>
      </c>
      <c r="M260">
        <v>2.5386996904024701</v>
      </c>
      <c r="N260" t="s">
        <v>18</v>
      </c>
      <c r="O260">
        <v>1</v>
      </c>
    </row>
    <row r="261" spans="1:15" x14ac:dyDescent="0.35">
      <c r="A261">
        <v>260</v>
      </c>
      <c r="B261" t="s">
        <v>15</v>
      </c>
      <c r="C261" t="s">
        <v>19</v>
      </c>
      <c r="D261" s="1">
        <v>45400</v>
      </c>
      <c r="E261" t="s">
        <v>27</v>
      </c>
      <c r="F261">
        <v>12</v>
      </c>
      <c r="G261">
        <v>223</v>
      </c>
      <c r="H261">
        <v>7</v>
      </c>
      <c r="I261">
        <v>1606</v>
      </c>
      <c r="J261">
        <v>764</v>
      </c>
      <c r="K261">
        <v>122</v>
      </c>
      <c r="L261">
        <v>491</v>
      </c>
      <c r="M261">
        <v>1.8574097135740899</v>
      </c>
      <c r="N261" t="s">
        <v>21</v>
      </c>
      <c r="O261">
        <v>0</v>
      </c>
    </row>
    <row r="262" spans="1:15" x14ac:dyDescent="0.35">
      <c r="A262">
        <v>261</v>
      </c>
      <c r="B262" t="s">
        <v>22</v>
      </c>
      <c r="C262" t="s">
        <v>19</v>
      </c>
      <c r="D262" s="1">
        <v>45574</v>
      </c>
      <c r="E262" t="s">
        <v>25</v>
      </c>
      <c r="F262">
        <v>17</v>
      </c>
      <c r="G262">
        <v>177</v>
      </c>
      <c r="H262">
        <v>8</v>
      </c>
      <c r="I262">
        <v>2684</v>
      </c>
      <c r="J262">
        <v>799</v>
      </c>
      <c r="K262">
        <v>291</v>
      </c>
      <c r="L262">
        <v>390</v>
      </c>
      <c r="M262">
        <v>1.5514157973174301</v>
      </c>
      <c r="N262" t="s">
        <v>23</v>
      </c>
      <c r="O262">
        <v>0</v>
      </c>
    </row>
    <row r="263" spans="1:15" x14ac:dyDescent="0.35">
      <c r="A263">
        <v>262</v>
      </c>
      <c r="B263" t="s">
        <v>26</v>
      </c>
      <c r="C263" t="s">
        <v>24</v>
      </c>
      <c r="D263" s="1">
        <v>45476</v>
      </c>
      <c r="E263" t="s">
        <v>25</v>
      </c>
      <c r="F263">
        <v>16</v>
      </c>
      <c r="G263">
        <v>124</v>
      </c>
      <c r="H263">
        <v>11</v>
      </c>
      <c r="I263">
        <v>4250</v>
      </c>
      <c r="J263">
        <v>514</v>
      </c>
      <c r="K263">
        <v>479</v>
      </c>
      <c r="L263">
        <v>101</v>
      </c>
      <c r="M263">
        <v>1.25741176470588</v>
      </c>
      <c r="N263" t="s">
        <v>23</v>
      </c>
      <c r="O263">
        <v>0</v>
      </c>
    </row>
    <row r="264" spans="1:15" x14ac:dyDescent="0.35">
      <c r="A264">
        <v>263</v>
      </c>
      <c r="B264" t="s">
        <v>26</v>
      </c>
      <c r="C264" t="s">
        <v>16</v>
      </c>
      <c r="D264" s="1">
        <v>45452</v>
      </c>
      <c r="E264" t="s">
        <v>20</v>
      </c>
      <c r="F264">
        <v>6</v>
      </c>
      <c r="G264">
        <v>153</v>
      </c>
      <c r="H264">
        <v>17</v>
      </c>
      <c r="I264">
        <v>3440</v>
      </c>
      <c r="J264">
        <v>51</v>
      </c>
      <c r="K264">
        <v>578</v>
      </c>
      <c r="L264">
        <v>227</v>
      </c>
      <c r="M264">
        <v>1.2488372093023199</v>
      </c>
      <c r="N264" t="s">
        <v>23</v>
      </c>
      <c r="O264">
        <v>0</v>
      </c>
    </row>
    <row r="265" spans="1:15" x14ac:dyDescent="0.35">
      <c r="A265">
        <v>264</v>
      </c>
      <c r="B265" t="s">
        <v>15</v>
      </c>
      <c r="C265" t="s">
        <v>16</v>
      </c>
      <c r="D265" s="1">
        <v>45591</v>
      </c>
      <c r="E265" t="s">
        <v>28</v>
      </c>
      <c r="F265">
        <v>16</v>
      </c>
      <c r="G265">
        <v>137</v>
      </c>
      <c r="H265">
        <v>12</v>
      </c>
      <c r="I265">
        <v>4794</v>
      </c>
      <c r="J265">
        <v>742</v>
      </c>
      <c r="K265">
        <v>429</v>
      </c>
      <c r="L265">
        <v>303</v>
      </c>
      <c r="M265">
        <v>1.30746766791823</v>
      </c>
      <c r="N265" t="s">
        <v>23</v>
      </c>
      <c r="O265">
        <v>0</v>
      </c>
    </row>
    <row r="266" spans="1:15" x14ac:dyDescent="0.35">
      <c r="A266">
        <v>265</v>
      </c>
      <c r="B266" t="s">
        <v>26</v>
      </c>
      <c r="C266" t="s">
        <v>24</v>
      </c>
      <c r="D266" s="1">
        <v>45583</v>
      </c>
      <c r="E266" t="s">
        <v>30</v>
      </c>
      <c r="F266">
        <v>14</v>
      </c>
      <c r="G266">
        <v>270</v>
      </c>
      <c r="H266">
        <v>20</v>
      </c>
      <c r="I266">
        <v>2063</v>
      </c>
      <c r="J266">
        <v>516</v>
      </c>
      <c r="K266">
        <v>565</v>
      </c>
      <c r="L266">
        <v>671</v>
      </c>
      <c r="M266">
        <v>1.84924866698982</v>
      </c>
      <c r="N266" t="s">
        <v>21</v>
      </c>
      <c r="O266">
        <v>0</v>
      </c>
    </row>
    <row r="267" spans="1:15" x14ac:dyDescent="0.35">
      <c r="A267">
        <v>266</v>
      </c>
      <c r="B267" t="s">
        <v>15</v>
      </c>
      <c r="C267" t="s">
        <v>19</v>
      </c>
      <c r="D267" s="1">
        <v>45543</v>
      </c>
      <c r="E267" t="s">
        <v>20</v>
      </c>
      <c r="F267">
        <v>23</v>
      </c>
      <c r="G267">
        <v>270</v>
      </c>
      <c r="H267">
        <v>5</v>
      </c>
      <c r="I267">
        <v>3825</v>
      </c>
      <c r="J267">
        <v>177</v>
      </c>
      <c r="K267">
        <v>362</v>
      </c>
      <c r="L267">
        <v>174</v>
      </c>
      <c r="M267">
        <v>1.1864052287581699</v>
      </c>
      <c r="N267" t="s">
        <v>23</v>
      </c>
      <c r="O267">
        <v>0</v>
      </c>
    </row>
    <row r="268" spans="1:15" x14ac:dyDescent="0.35">
      <c r="A268">
        <v>267</v>
      </c>
      <c r="B268" t="s">
        <v>26</v>
      </c>
      <c r="C268" t="s">
        <v>16</v>
      </c>
      <c r="D268" s="1">
        <v>45569</v>
      </c>
      <c r="E268" t="s">
        <v>30</v>
      </c>
      <c r="F268">
        <v>6</v>
      </c>
      <c r="G268">
        <v>231</v>
      </c>
      <c r="H268">
        <v>4</v>
      </c>
      <c r="I268">
        <v>531</v>
      </c>
      <c r="J268">
        <v>541</v>
      </c>
      <c r="K268">
        <v>36</v>
      </c>
      <c r="L268">
        <v>77</v>
      </c>
      <c r="M268">
        <v>2.2316384180790898</v>
      </c>
      <c r="N268" t="s">
        <v>21</v>
      </c>
      <c r="O268">
        <v>0</v>
      </c>
    </row>
    <row r="269" spans="1:15" x14ac:dyDescent="0.35">
      <c r="A269">
        <v>268</v>
      </c>
      <c r="B269" t="s">
        <v>15</v>
      </c>
      <c r="C269" t="s">
        <v>19</v>
      </c>
      <c r="D269" s="1">
        <v>45410</v>
      </c>
      <c r="E269" t="s">
        <v>20</v>
      </c>
      <c r="F269">
        <v>20</v>
      </c>
      <c r="G269">
        <v>211</v>
      </c>
      <c r="H269">
        <v>1</v>
      </c>
      <c r="I269">
        <v>606</v>
      </c>
      <c r="J269">
        <v>729</v>
      </c>
      <c r="K269">
        <v>156</v>
      </c>
      <c r="L269">
        <v>10</v>
      </c>
      <c r="M269">
        <v>2.4768976897689701</v>
      </c>
      <c r="N269" t="s">
        <v>18</v>
      </c>
      <c r="O269">
        <v>0</v>
      </c>
    </row>
    <row r="270" spans="1:15" x14ac:dyDescent="0.35">
      <c r="A270">
        <v>269</v>
      </c>
      <c r="B270" t="s">
        <v>26</v>
      </c>
      <c r="C270" t="s">
        <v>24</v>
      </c>
      <c r="D270" s="1">
        <v>45539</v>
      </c>
      <c r="E270" t="s">
        <v>25</v>
      </c>
      <c r="F270">
        <v>6</v>
      </c>
      <c r="G270">
        <v>28</v>
      </c>
      <c r="H270">
        <v>16</v>
      </c>
      <c r="I270">
        <v>4046</v>
      </c>
      <c r="J270">
        <v>21</v>
      </c>
      <c r="K270">
        <v>8</v>
      </c>
      <c r="L270">
        <v>545</v>
      </c>
      <c r="M270">
        <v>1.1418685121107199</v>
      </c>
      <c r="N270" t="s">
        <v>23</v>
      </c>
      <c r="O270">
        <v>0</v>
      </c>
    </row>
    <row r="271" spans="1:15" x14ac:dyDescent="0.35">
      <c r="A271">
        <v>270</v>
      </c>
      <c r="B271" t="s">
        <v>26</v>
      </c>
      <c r="C271" t="s">
        <v>19</v>
      </c>
      <c r="D271" s="1">
        <v>45432</v>
      </c>
      <c r="E271" t="s">
        <v>29</v>
      </c>
      <c r="F271">
        <v>19</v>
      </c>
      <c r="G271">
        <v>111</v>
      </c>
      <c r="H271">
        <v>3</v>
      </c>
      <c r="I271">
        <v>4438</v>
      </c>
      <c r="J271">
        <v>298</v>
      </c>
      <c r="K271">
        <v>19</v>
      </c>
      <c r="L271">
        <v>515</v>
      </c>
      <c r="M271">
        <v>1.1874718341595301</v>
      </c>
      <c r="N271" t="s">
        <v>23</v>
      </c>
      <c r="O271">
        <v>0</v>
      </c>
    </row>
    <row r="272" spans="1:15" x14ac:dyDescent="0.35">
      <c r="A272">
        <v>271</v>
      </c>
      <c r="B272" t="s">
        <v>26</v>
      </c>
      <c r="C272" t="s">
        <v>19</v>
      </c>
      <c r="D272" s="1">
        <v>45341</v>
      </c>
      <c r="E272" t="s">
        <v>29</v>
      </c>
      <c r="F272">
        <v>14</v>
      </c>
      <c r="G272">
        <v>201</v>
      </c>
      <c r="H272">
        <v>8</v>
      </c>
      <c r="I272">
        <v>4345</v>
      </c>
      <c r="J272">
        <v>157</v>
      </c>
      <c r="K272">
        <v>248</v>
      </c>
      <c r="L272">
        <v>197</v>
      </c>
      <c r="M272">
        <v>1.1385500575373899</v>
      </c>
      <c r="N272" t="s">
        <v>23</v>
      </c>
      <c r="O272">
        <v>0</v>
      </c>
    </row>
    <row r="273" spans="1:15" x14ac:dyDescent="0.35">
      <c r="A273">
        <v>272</v>
      </c>
      <c r="B273" t="s">
        <v>26</v>
      </c>
      <c r="C273" t="s">
        <v>16</v>
      </c>
      <c r="D273" s="1">
        <v>45495</v>
      </c>
      <c r="E273" t="s">
        <v>29</v>
      </c>
      <c r="F273">
        <v>13</v>
      </c>
      <c r="G273">
        <v>173</v>
      </c>
      <c r="H273">
        <v>2</v>
      </c>
      <c r="I273">
        <v>697</v>
      </c>
      <c r="J273">
        <v>387</v>
      </c>
      <c r="K273">
        <v>417</v>
      </c>
      <c r="L273">
        <v>471</v>
      </c>
      <c r="M273">
        <v>2.82926829268292</v>
      </c>
      <c r="N273" t="s">
        <v>18</v>
      </c>
      <c r="O273">
        <v>0</v>
      </c>
    </row>
    <row r="274" spans="1:15" x14ac:dyDescent="0.35">
      <c r="A274">
        <v>273</v>
      </c>
      <c r="B274" t="s">
        <v>26</v>
      </c>
      <c r="C274" t="s">
        <v>24</v>
      </c>
      <c r="D274" s="1">
        <v>45308</v>
      </c>
      <c r="E274" t="s">
        <v>25</v>
      </c>
      <c r="F274">
        <v>7</v>
      </c>
      <c r="G274">
        <v>24</v>
      </c>
      <c r="H274">
        <v>5</v>
      </c>
      <c r="I274">
        <v>815</v>
      </c>
      <c r="J274">
        <v>420</v>
      </c>
      <c r="K274">
        <v>390</v>
      </c>
      <c r="L274">
        <v>387</v>
      </c>
      <c r="M274">
        <v>2.4687116564417102</v>
      </c>
      <c r="N274" t="s">
        <v>18</v>
      </c>
      <c r="O274">
        <v>0</v>
      </c>
    </row>
    <row r="275" spans="1:15" x14ac:dyDescent="0.35">
      <c r="A275">
        <v>274</v>
      </c>
      <c r="B275" t="s">
        <v>15</v>
      </c>
      <c r="C275" t="s">
        <v>19</v>
      </c>
      <c r="D275" s="1">
        <v>45334</v>
      </c>
      <c r="E275" t="s">
        <v>29</v>
      </c>
      <c r="F275">
        <v>7</v>
      </c>
      <c r="G275">
        <v>137</v>
      </c>
      <c r="H275">
        <v>6</v>
      </c>
      <c r="I275">
        <v>4144</v>
      </c>
      <c r="J275">
        <v>449</v>
      </c>
      <c r="K275">
        <v>341</v>
      </c>
      <c r="L275">
        <v>580</v>
      </c>
      <c r="M275">
        <v>1.33059845559845</v>
      </c>
      <c r="N275" t="s">
        <v>23</v>
      </c>
      <c r="O275">
        <v>0</v>
      </c>
    </row>
    <row r="276" spans="1:15" x14ac:dyDescent="0.35">
      <c r="A276">
        <v>275</v>
      </c>
      <c r="B276" t="s">
        <v>26</v>
      </c>
      <c r="C276" t="s">
        <v>24</v>
      </c>
      <c r="D276" s="1">
        <v>45582</v>
      </c>
      <c r="E276" t="s">
        <v>27</v>
      </c>
      <c r="F276">
        <v>23</v>
      </c>
      <c r="G276">
        <v>36</v>
      </c>
      <c r="H276">
        <v>5</v>
      </c>
      <c r="I276">
        <v>3945</v>
      </c>
      <c r="J276">
        <v>282</v>
      </c>
      <c r="K276">
        <v>49</v>
      </c>
      <c r="L276">
        <v>77</v>
      </c>
      <c r="M276">
        <v>1.1034220532319301</v>
      </c>
      <c r="N276" t="s">
        <v>23</v>
      </c>
      <c r="O276">
        <v>0</v>
      </c>
    </row>
    <row r="277" spans="1:15" x14ac:dyDescent="0.35">
      <c r="A277">
        <v>276</v>
      </c>
      <c r="B277" t="s">
        <v>15</v>
      </c>
      <c r="C277" t="s">
        <v>24</v>
      </c>
      <c r="D277" s="1">
        <v>45453</v>
      </c>
      <c r="E277" t="s">
        <v>29</v>
      </c>
      <c r="F277">
        <v>11</v>
      </c>
      <c r="G277">
        <v>143</v>
      </c>
      <c r="H277">
        <v>18</v>
      </c>
      <c r="I277">
        <v>178</v>
      </c>
      <c r="J277">
        <v>217</v>
      </c>
      <c r="K277">
        <v>149</v>
      </c>
      <c r="L277">
        <v>408</v>
      </c>
      <c r="M277">
        <v>5.3483146067415701</v>
      </c>
      <c r="N277" t="s">
        <v>18</v>
      </c>
      <c r="O277">
        <v>0</v>
      </c>
    </row>
    <row r="278" spans="1:15" x14ac:dyDescent="0.35">
      <c r="A278">
        <v>277</v>
      </c>
      <c r="B278" t="s">
        <v>26</v>
      </c>
      <c r="C278" t="s">
        <v>19</v>
      </c>
      <c r="D278" s="1">
        <v>45491</v>
      </c>
      <c r="E278" t="s">
        <v>27</v>
      </c>
      <c r="F278">
        <v>8</v>
      </c>
      <c r="G278">
        <v>276</v>
      </c>
      <c r="H278">
        <v>11</v>
      </c>
      <c r="I278">
        <v>4478</v>
      </c>
      <c r="J278">
        <v>344</v>
      </c>
      <c r="K278">
        <v>395</v>
      </c>
      <c r="L278">
        <v>144</v>
      </c>
      <c r="M278">
        <v>1.1971862438588601</v>
      </c>
      <c r="N278" t="s">
        <v>23</v>
      </c>
      <c r="O278">
        <v>0</v>
      </c>
    </row>
    <row r="279" spans="1:15" x14ac:dyDescent="0.35">
      <c r="A279">
        <v>278</v>
      </c>
      <c r="B279" t="s">
        <v>22</v>
      </c>
      <c r="C279" t="s">
        <v>19</v>
      </c>
      <c r="D279" s="1">
        <v>45319</v>
      </c>
      <c r="E279" t="s">
        <v>20</v>
      </c>
      <c r="F279">
        <v>18</v>
      </c>
      <c r="G279">
        <v>187</v>
      </c>
      <c r="H279">
        <v>0</v>
      </c>
      <c r="I279">
        <v>850</v>
      </c>
      <c r="J279">
        <v>452</v>
      </c>
      <c r="K279">
        <v>239</v>
      </c>
      <c r="L279">
        <v>78</v>
      </c>
      <c r="M279">
        <v>1.9047058823529399</v>
      </c>
      <c r="N279" t="s">
        <v>21</v>
      </c>
      <c r="O279">
        <v>0</v>
      </c>
    </row>
    <row r="280" spans="1:15" x14ac:dyDescent="0.35">
      <c r="A280">
        <v>279</v>
      </c>
      <c r="B280" t="s">
        <v>26</v>
      </c>
      <c r="C280" t="s">
        <v>24</v>
      </c>
      <c r="D280" s="1">
        <v>45431</v>
      </c>
      <c r="E280" t="s">
        <v>20</v>
      </c>
      <c r="F280">
        <v>19</v>
      </c>
      <c r="G280">
        <v>115</v>
      </c>
      <c r="H280">
        <v>18</v>
      </c>
      <c r="I280">
        <v>3740</v>
      </c>
      <c r="J280">
        <v>507</v>
      </c>
      <c r="K280">
        <v>235</v>
      </c>
      <c r="L280">
        <v>365</v>
      </c>
      <c r="M280">
        <v>1.2959893048128299</v>
      </c>
      <c r="N280" t="s">
        <v>23</v>
      </c>
      <c r="O280">
        <v>0</v>
      </c>
    </row>
    <row r="281" spans="1:15" x14ac:dyDescent="0.35">
      <c r="A281">
        <v>280</v>
      </c>
      <c r="B281" t="s">
        <v>26</v>
      </c>
      <c r="C281" t="s">
        <v>16</v>
      </c>
      <c r="D281" s="1">
        <v>45486</v>
      </c>
      <c r="E281" t="s">
        <v>28</v>
      </c>
      <c r="F281">
        <v>8</v>
      </c>
      <c r="G281">
        <v>157</v>
      </c>
      <c r="H281">
        <v>4</v>
      </c>
      <c r="I281">
        <v>752</v>
      </c>
      <c r="J281">
        <v>795</v>
      </c>
      <c r="K281">
        <v>304</v>
      </c>
      <c r="L281">
        <v>253</v>
      </c>
      <c r="M281">
        <v>2.7978723404255299</v>
      </c>
      <c r="N281" t="s">
        <v>18</v>
      </c>
      <c r="O281">
        <v>0</v>
      </c>
    </row>
    <row r="282" spans="1:15" x14ac:dyDescent="0.35">
      <c r="A282">
        <v>281</v>
      </c>
      <c r="B282" t="s">
        <v>22</v>
      </c>
      <c r="C282" t="s">
        <v>16</v>
      </c>
      <c r="D282" s="1">
        <v>45486</v>
      </c>
      <c r="E282" t="s">
        <v>28</v>
      </c>
      <c r="F282">
        <v>8</v>
      </c>
      <c r="G282">
        <v>22</v>
      </c>
      <c r="H282">
        <v>9</v>
      </c>
      <c r="I282">
        <v>1313</v>
      </c>
      <c r="J282">
        <v>762</v>
      </c>
      <c r="K282">
        <v>400</v>
      </c>
      <c r="L282">
        <v>325</v>
      </c>
      <c r="M282">
        <v>2.1325209444021298</v>
      </c>
      <c r="N282" t="s">
        <v>21</v>
      </c>
      <c r="O282">
        <v>0</v>
      </c>
    </row>
    <row r="283" spans="1:15" x14ac:dyDescent="0.35">
      <c r="A283">
        <v>282</v>
      </c>
      <c r="B283" t="s">
        <v>15</v>
      </c>
      <c r="C283" t="s">
        <v>16</v>
      </c>
      <c r="D283" s="1">
        <v>45519</v>
      </c>
      <c r="E283" t="s">
        <v>27</v>
      </c>
      <c r="F283">
        <v>11</v>
      </c>
      <c r="G283">
        <v>240</v>
      </c>
      <c r="H283">
        <v>14</v>
      </c>
      <c r="I283">
        <v>2998</v>
      </c>
      <c r="J283">
        <v>784</v>
      </c>
      <c r="K283">
        <v>278</v>
      </c>
      <c r="L283">
        <v>105</v>
      </c>
      <c r="M283">
        <v>1.3892595063375499</v>
      </c>
      <c r="N283" t="s">
        <v>23</v>
      </c>
      <c r="O283">
        <v>0</v>
      </c>
    </row>
    <row r="284" spans="1:15" x14ac:dyDescent="0.35">
      <c r="A284">
        <v>283</v>
      </c>
      <c r="B284" t="s">
        <v>15</v>
      </c>
      <c r="C284" t="s">
        <v>16</v>
      </c>
      <c r="D284" s="1">
        <v>45577</v>
      </c>
      <c r="E284" t="s">
        <v>28</v>
      </c>
      <c r="F284">
        <v>17</v>
      </c>
      <c r="G284">
        <v>67</v>
      </c>
      <c r="H284">
        <v>19</v>
      </c>
      <c r="I284">
        <v>4594</v>
      </c>
      <c r="J284">
        <v>529</v>
      </c>
      <c r="K284">
        <v>419</v>
      </c>
      <c r="L284">
        <v>106</v>
      </c>
      <c r="M284">
        <v>1.2294296909011699</v>
      </c>
      <c r="N284" t="s">
        <v>23</v>
      </c>
      <c r="O284">
        <v>0</v>
      </c>
    </row>
    <row r="285" spans="1:15" x14ac:dyDescent="0.35">
      <c r="A285">
        <v>284</v>
      </c>
      <c r="B285" t="s">
        <v>22</v>
      </c>
      <c r="C285" t="s">
        <v>16</v>
      </c>
      <c r="D285" s="1">
        <v>45458</v>
      </c>
      <c r="E285" t="s">
        <v>28</v>
      </c>
      <c r="F285">
        <v>23</v>
      </c>
      <c r="G285">
        <v>144</v>
      </c>
      <c r="H285">
        <v>18</v>
      </c>
      <c r="I285">
        <v>3205</v>
      </c>
      <c r="J285">
        <v>17</v>
      </c>
      <c r="K285">
        <v>300</v>
      </c>
      <c r="L285">
        <v>424</v>
      </c>
      <c r="M285">
        <v>1.2312012480499199</v>
      </c>
      <c r="N285" t="s">
        <v>23</v>
      </c>
      <c r="O285">
        <v>0</v>
      </c>
    </row>
    <row r="286" spans="1:15" x14ac:dyDescent="0.35">
      <c r="A286">
        <v>285</v>
      </c>
      <c r="B286" t="s">
        <v>15</v>
      </c>
      <c r="C286" t="s">
        <v>24</v>
      </c>
      <c r="D286" s="1">
        <v>45558</v>
      </c>
      <c r="E286" t="s">
        <v>29</v>
      </c>
      <c r="F286">
        <v>15</v>
      </c>
      <c r="G286">
        <v>157</v>
      </c>
      <c r="H286">
        <v>15</v>
      </c>
      <c r="I286">
        <v>1439</v>
      </c>
      <c r="J286">
        <v>706</v>
      </c>
      <c r="K286">
        <v>391</v>
      </c>
      <c r="L286">
        <v>174</v>
      </c>
      <c r="M286">
        <v>1.8832522585128499</v>
      </c>
      <c r="N286" t="s">
        <v>21</v>
      </c>
      <c r="O286">
        <v>0</v>
      </c>
    </row>
    <row r="287" spans="1:15" x14ac:dyDescent="0.35">
      <c r="A287">
        <v>286</v>
      </c>
      <c r="B287" t="s">
        <v>22</v>
      </c>
      <c r="C287" t="s">
        <v>24</v>
      </c>
      <c r="D287" s="1">
        <v>45366</v>
      </c>
      <c r="E287" t="s">
        <v>30</v>
      </c>
      <c r="F287">
        <v>21</v>
      </c>
      <c r="G287">
        <v>59</v>
      </c>
      <c r="H287">
        <v>11</v>
      </c>
      <c r="I287">
        <v>568</v>
      </c>
      <c r="J287">
        <v>176</v>
      </c>
      <c r="K287">
        <v>447</v>
      </c>
      <c r="L287">
        <v>283</v>
      </c>
      <c r="M287">
        <v>2.5950704225352101</v>
      </c>
      <c r="N287" t="s">
        <v>18</v>
      </c>
      <c r="O287">
        <v>0</v>
      </c>
    </row>
    <row r="288" spans="1:15" x14ac:dyDescent="0.35">
      <c r="A288">
        <v>287</v>
      </c>
      <c r="B288" t="s">
        <v>26</v>
      </c>
      <c r="C288" t="s">
        <v>16</v>
      </c>
      <c r="D288" s="1">
        <v>45420</v>
      </c>
      <c r="E288" t="s">
        <v>25</v>
      </c>
      <c r="F288">
        <v>20</v>
      </c>
      <c r="G288">
        <v>74</v>
      </c>
      <c r="H288">
        <v>4</v>
      </c>
      <c r="I288">
        <v>2070</v>
      </c>
      <c r="J288">
        <v>743</v>
      </c>
      <c r="K288">
        <v>509</v>
      </c>
      <c r="L288">
        <v>609</v>
      </c>
      <c r="M288">
        <v>1.8990338164251199</v>
      </c>
      <c r="N288" t="s">
        <v>21</v>
      </c>
      <c r="O288">
        <v>0</v>
      </c>
    </row>
    <row r="289" spans="1:15" x14ac:dyDescent="0.35">
      <c r="A289">
        <v>288</v>
      </c>
      <c r="B289" t="s">
        <v>22</v>
      </c>
      <c r="C289" t="s">
        <v>24</v>
      </c>
      <c r="D289" s="1">
        <v>45447</v>
      </c>
      <c r="E289" t="s">
        <v>17</v>
      </c>
      <c r="F289">
        <v>20</v>
      </c>
      <c r="G289">
        <v>191</v>
      </c>
      <c r="H289">
        <v>13</v>
      </c>
      <c r="I289">
        <v>105</v>
      </c>
      <c r="J289">
        <v>410</v>
      </c>
      <c r="K289">
        <v>342</v>
      </c>
      <c r="L289">
        <v>636</v>
      </c>
      <c r="M289">
        <v>14.219047619047601</v>
      </c>
      <c r="N289" t="s">
        <v>18</v>
      </c>
      <c r="O289">
        <v>0</v>
      </c>
    </row>
    <row r="290" spans="1:15" x14ac:dyDescent="0.35">
      <c r="A290">
        <v>289</v>
      </c>
      <c r="B290" t="s">
        <v>22</v>
      </c>
      <c r="C290" t="s">
        <v>16</v>
      </c>
      <c r="D290" s="1">
        <v>45361</v>
      </c>
      <c r="E290" t="s">
        <v>20</v>
      </c>
      <c r="F290">
        <v>18</v>
      </c>
      <c r="G290">
        <v>183</v>
      </c>
      <c r="H290">
        <v>9</v>
      </c>
      <c r="I290">
        <v>2511</v>
      </c>
      <c r="J290">
        <v>333</v>
      </c>
      <c r="K290">
        <v>207</v>
      </c>
      <c r="L290">
        <v>491</v>
      </c>
      <c r="M290">
        <v>1.41059338908801</v>
      </c>
      <c r="N290" t="s">
        <v>23</v>
      </c>
      <c r="O290">
        <v>0</v>
      </c>
    </row>
    <row r="291" spans="1:15" x14ac:dyDescent="0.35">
      <c r="A291">
        <v>290</v>
      </c>
      <c r="B291" t="s">
        <v>22</v>
      </c>
      <c r="C291" t="s">
        <v>24</v>
      </c>
      <c r="D291" s="1">
        <v>45543</v>
      </c>
      <c r="E291" t="s">
        <v>20</v>
      </c>
      <c r="F291">
        <v>17</v>
      </c>
      <c r="G291">
        <v>78</v>
      </c>
      <c r="H291">
        <v>18</v>
      </c>
      <c r="I291">
        <v>4767</v>
      </c>
      <c r="J291">
        <v>253</v>
      </c>
      <c r="K291">
        <v>335</v>
      </c>
      <c r="L291">
        <v>386</v>
      </c>
      <c r="M291">
        <v>1.20432137612754</v>
      </c>
      <c r="N291" t="s">
        <v>23</v>
      </c>
      <c r="O291">
        <v>0</v>
      </c>
    </row>
    <row r="292" spans="1:15" x14ac:dyDescent="0.35">
      <c r="A292">
        <v>291</v>
      </c>
      <c r="B292" t="s">
        <v>26</v>
      </c>
      <c r="C292" t="s">
        <v>16</v>
      </c>
      <c r="D292" s="1">
        <v>45394</v>
      </c>
      <c r="E292" t="s">
        <v>30</v>
      </c>
      <c r="F292">
        <v>20</v>
      </c>
      <c r="G292">
        <v>127</v>
      </c>
      <c r="H292">
        <v>14</v>
      </c>
      <c r="I292">
        <v>4901</v>
      </c>
      <c r="J292">
        <v>563</v>
      </c>
      <c r="K292">
        <v>186</v>
      </c>
      <c r="L292">
        <v>699</v>
      </c>
      <c r="M292">
        <v>1.2954499081819999</v>
      </c>
      <c r="N292" t="s">
        <v>23</v>
      </c>
      <c r="O292">
        <v>0</v>
      </c>
    </row>
    <row r="293" spans="1:15" x14ac:dyDescent="0.35">
      <c r="A293">
        <v>292</v>
      </c>
      <c r="B293" t="s">
        <v>26</v>
      </c>
      <c r="C293" t="s">
        <v>24</v>
      </c>
      <c r="D293" s="1">
        <v>45441</v>
      </c>
      <c r="E293" t="s">
        <v>25</v>
      </c>
      <c r="F293">
        <v>13</v>
      </c>
      <c r="G293">
        <v>149</v>
      </c>
      <c r="H293">
        <v>4</v>
      </c>
      <c r="I293">
        <v>616</v>
      </c>
      <c r="J293">
        <v>423</v>
      </c>
      <c r="K293">
        <v>513</v>
      </c>
      <c r="L293">
        <v>143</v>
      </c>
      <c r="M293">
        <v>2.7516233766233702</v>
      </c>
      <c r="N293" t="s">
        <v>18</v>
      </c>
      <c r="O293">
        <v>0</v>
      </c>
    </row>
    <row r="294" spans="1:15" x14ac:dyDescent="0.35">
      <c r="A294">
        <v>293</v>
      </c>
      <c r="B294" t="s">
        <v>22</v>
      </c>
      <c r="C294" t="s">
        <v>19</v>
      </c>
      <c r="D294" s="1">
        <v>45508</v>
      </c>
      <c r="E294" t="s">
        <v>20</v>
      </c>
      <c r="F294">
        <v>18</v>
      </c>
      <c r="G294">
        <v>293</v>
      </c>
      <c r="H294">
        <v>16</v>
      </c>
      <c r="I294">
        <v>3138</v>
      </c>
      <c r="J294">
        <v>80</v>
      </c>
      <c r="K294">
        <v>461</v>
      </c>
      <c r="L294">
        <v>613</v>
      </c>
      <c r="M294">
        <v>1.3677501593371499</v>
      </c>
      <c r="N294" t="s">
        <v>23</v>
      </c>
      <c r="O294">
        <v>0</v>
      </c>
    </row>
    <row r="295" spans="1:15" x14ac:dyDescent="0.35">
      <c r="A295">
        <v>294</v>
      </c>
      <c r="B295" t="s">
        <v>26</v>
      </c>
      <c r="C295" t="s">
        <v>19</v>
      </c>
      <c r="D295" s="1">
        <v>45506</v>
      </c>
      <c r="E295" t="s">
        <v>30</v>
      </c>
      <c r="F295">
        <v>8</v>
      </c>
      <c r="G295">
        <v>75</v>
      </c>
      <c r="H295">
        <v>7</v>
      </c>
      <c r="I295">
        <v>4503</v>
      </c>
      <c r="J295">
        <v>42</v>
      </c>
      <c r="K295">
        <v>370</v>
      </c>
      <c r="L295">
        <v>550</v>
      </c>
      <c r="M295">
        <v>1.2136353542083</v>
      </c>
      <c r="N295" t="s">
        <v>23</v>
      </c>
      <c r="O295">
        <v>0</v>
      </c>
    </row>
    <row r="296" spans="1:15" x14ac:dyDescent="0.35">
      <c r="A296">
        <v>295</v>
      </c>
      <c r="B296" t="s">
        <v>26</v>
      </c>
      <c r="C296" t="s">
        <v>19</v>
      </c>
      <c r="D296" s="1">
        <v>45473</v>
      </c>
      <c r="E296" t="s">
        <v>20</v>
      </c>
      <c r="F296">
        <v>18</v>
      </c>
      <c r="G296">
        <v>189</v>
      </c>
      <c r="H296">
        <v>13</v>
      </c>
      <c r="I296">
        <v>1412</v>
      </c>
      <c r="J296">
        <v>667</v>
      </c>
      <c r="K296">
        <v>47</v>
      </c>
      <c r="L296">
        <v>577</v>
      </c>
      <c r="M296">
        <v>1.9143059490084899</v>
      </c>
      <c r="N296" t="s">
        <v>21</v>
      </c>
      <c r="O296">
        <v>0</v>
      </c>
    </row>
    <row r="297" spans="1:15" x14ac:dyDescent="0.35">
      <c r="A297">
        <v>296</v>
      </c>
      <c r="B297" t="s">
        <v>26</v>
      </c>
      <c r="C297" t="s">
        <v>19</v>
      </c>
      <c r="D297" s="1">
        <v>45346</v>
      </c>
      <c r="E297" t="s">
        <v>28</v>
      </c>
      <c r="F297">
        <v>22</v>
      </c>
      <c r="G297">
        <v>133</v>
      </c>
      <c r="H297">
        <v>14</v>
      </c>
      <c r="I297">
        <v>136</v>
      </c>
      <c r="J297">
        <v>105</v>
      </c>
      <c r="K297">
        <v>266</v>
      </c>
      <c r="L297">
        <v>228</v>
      </c>
      <c r="M297">
        <v>5.4044117647058796</v>
      </c>
      <c r="N297" t="s">
        <v>18</v>
      </c>
      <c r="O297">
        <v>0</v>
      </c>
    </row>
    <row r="298" spans="1:15" x14ac:dyDescent="0.35">
      <c r="A298">
        <v>297</v>
      </c>
      <c r="B298" t="s">
        <v>22</v>
      </c>
      <c r="C298" t="s">
        <v>16</v>
      </c>
      <c r="D298" s="1">
        <v>45483</v>
      </c>
      <c r="E298" t="s">
        <v>25</v>
      </c>
      <c r="F298">
        <v>21</v>
      </c>
      <c r="G298">
        <v>73</v>
      </c>
      <c r="H298">
        <v>9</v>
      </c>
      <c r="I298">
        <v>3254</v>
      </c>
      <c r="J298">
        <v>479</v>
      </c>
      <c r="K298">
        <v>514</v>
      </c>
      <c r="L298">
        <v>155</v>
      </c>
      <c r="M298">
        <v>1.35279655808236</v>
      </c>
      <c r="N298" t="s">
        <v>23</v>
      </c>
      <c r="O298">
        <v>0</v>
      </c>
    </row>
    <row r="299" spans="1:15" x14ac:dyDescent="0.35">
      <c r="A299">
        <v>298</v>
      </c>
      <c r="B299" t="s">
        <v>22</v>
      </c>
      <c r="C299" t="s">
        <v>24</v>
      </c>
      <c r="D299" s="1">
        <v>45504</v>
      </c>
      <c r="E299" t="s">
        <v>25</v>
      </c>
      <c r="F299">
        <v>20</v>
      </c>
      <c r="G299">
        <v>125</v>
      </c>
      <c r="H299">
        <v>16</v>
      </c>
      <c r="I299">
        <v>753</v>
      </c>
      <c r="J299">
        <v>123</v>
      </c>
      <c r="K299">
        <v>147</v>
      </c>
      <c r="L299">
        <v>357</v>
      </c>
      <c r="M299">
        <v>1.8326693227091599</v>
      </c>
      <c r="N299" t="s">
        <v>21</v>
      </c>
      <c r="O299">
        <v>0</v>
      </c>
    </row>
    <row r="300" spans="1:15" x14ac:dyDescent="0.35">
      <c r="A300">
        <v>299</v>
      </c>
      <c r="B300" t="s">
        <v>26</v>
      </c>
      <c r="C300" t="s">
        <v>19</v>
      </c>
      <c r="D300" s="1">
        <v>45539</v>
      </c>
      <c r="E300" t="s">
        <v>25</v>
      </c>
      <c r="F300">
        <v>20</v>
      </c>
      <c r="G300">
        <v>183</v>
      </c>
      <c r="H300">
        <v>2</v>
      </c>
      <c r="I300">
        <v>2903</v>
      </c>
      <c r="J300">
        <v>492</v>
      </c>
      <c r="K300">
        <v>101</v>
      </c>
      <c r="L300">
        <v>449</v>
      </c>
      <c r="M300">
        <v>1.35893902859111</v>
      </c>
      <c r="N300" t="s">
        <v>23</v>
      </c>
      <c r="O300">
        <v>0</v>
      </c>
    </row>
    <row r="301" spans="1:15" x14ac:dyDescent="0.35">
      <c r="A301">
        <v>300</v>
      </c>
      <c r="B301" t="s">
        <v>22</v>
      </c>
      <c r="C301" t="s">
        <v>19</v>
      </c>
      <c r="D301" s="1">
        <v>45445</v>
      </c>
      <c r="E301" t="s">
        <v>20</v>
      </c>
      <c r="F301">
        <v>9</v>
      </c>
      <c r="G301">
        <v>104</v>
      </c>
      <c r="H301">
        <v>7</v>
      </c>
      <c r="I301">
        <v>416</v>
      </c>
      <c r="J301">
        <v>732</v>
      </c>
      <c r="K301">
        <v>119</v>
      </c>
      <c r="L301">
        <v>24</v>
      </c>
      <c r="M301">
        <v>3.1033653846153801</v>
      </c>
      <c r="N301" t="s">
        <v>18</v>
      </c>
      <c r="O301">
        <v>0</v>
      </c>
    </row>
    <row r="302" spans="1:15" x14ac:dyDescent="0.35">
      <c r="A302">
        <v>301</v>
      </c>
      <c r="B302" t="s">
        <v>26</v>
      </c>
      <c r="C302" t="s">
        <v>24</v>
      </c>
      <c r="D302" s="1">
        <v>45556</v>
      </c>
      <c r="E302" t="s">
        <v>28</v>
      </c>
      <c r="F302">
        <v>20</v>
      </c>
      <c r="G302">
        <v>138</v>
      </c>
      <c r="H302">
        <v>12</v>
      </c>
      <c r="I302">
        <v>1479</v>
      </c>
      <c r="J302">
        <v>570</v>
      </c>
      <c r="K302">
        <v>165</v>
      </c>
      <c r="L302">
        <v>339</v>
      </c>
      <c r="M302">
        <v>1.7261663286004001</v>
      </c>
      <c r="N302" t="s">
        <v>21</v>
      </c>
      <c r="O302">
        <v>0</v>
      </c>
    </row>
    <row r="303" spans="1:15" x14ac:dyDescent="0.35">
      <c r="A303">
        <v>302</v>
      </c>
      <c r="B303" t="s">
        <v>15</v>
      </c>
      <c r="C303" t="s">
        <v>19</v>
      </c>
      <c r="D303" s="1">
        <v>45386</v>
      </c>
      <c r="E303" t="s">
        <v>27</v>
      </c>
      <c r="F303">
        <v>12</v>
      </c>
      <c r="G303">
        <v>250</v>
      </c>
      <c r="H303">
        <v>18</v>
      </c>
      <c r="I303">
        <v>1576</v>
      </c>
      <c r="J303">
        <v>660</v>
      </c>
      <c r="K303">
        <v>444</v>
      </c>
      <c r="L303">
        <v>406</v>
      </c>
      <c r="M303">
        <v>1.95812182741116</v>
      </c>
      <c r="N303" t="s">
        <v>21</v>
      </c>
      <c r="O303">
        <v>0</v>
      </c>
    </row>
    <row r="304" spans="1:15" x14ac:dyDescent="0.35">
      <c r="A304">
        <v>303</v>
      </c>
      <c r="B304" t="s">
        <v>22</v>
      </c>
      <c r="C304" t="s">
        <v>19</v>
      </c>
      <c r="D304" s="1">
        <v>45511</v>
      </c>
      <c r="E304" t="s">
        <v>25</v>
      </c>
      <c r="F304">
        <v>8</v>
      </c>
      <c r="G304">
        <v>72</v>
      </c>
      <c r="H304">
        <v>17</v>
      </c>
      <c r="I304">
        <v>3235</v>
      </c>
      <c r="J304">
        <v>9</v>
      </c>
      <c r="K304">
        <v>221</v>
      </c>
      <c r="L304">
        <v>211</v>
      </c>
      <c r="M304">
        <v>1.1363214837712501</v>
      </c>
      <c r="N304" t="s">
        <v>23</v>
      </c>
      <c r="O304">
        <v>0</v>
      </c>
    </row>
    <row r="305" spans="1:15" x14ac:dyDescent="0.35">
      <c r="A305">
        <v>304</v>
      </c>
      <c r="B305" t="s">
        <v>15</v>
      </c>
      <c r="C305" t="s">
        <v>24</v>
      </c>
      <c r="D305" s="1">
        <v>45387</v>
      </c>
      <c r="E305" t="s">
        <v>30</v>
      </c>
      <c r="F305">
        <v>21</v>
      </c>
      <c r="G305">
        <v>290</v>
      </c>
      <c r="H305">
        <v>20</v>
      </c>
      <c r="I305">
        <v>3046</v>
      </c>
      <c r="J305">
        <v>338</v>
      </c>
      <c r="K305">
        <v>203</v>
      </c>
      <c r="L305">
        <v>469</v>
      </c>
      <c r="M305">
        <v>1.3315824031516701</v>
      </c>
      <c r="N305" t="s">
        <v>23</v>
      </c>
      <c r="O305">
        <v>0</v>
      </c>
    </row>
    <row r="306" spans="1:15" x14ac:dyDescent="0.35">
      <c r="A306">
        <v>305</v>
      </c>
      <c r="B306" t="s">
        <v>15</v>
      </c>
      <c r="C306" t="s">
        <v>24</v>
      </c>
      <c r="D306" s="1">
        <v>45452</v>
      </c>
      <c r="E306" t="s">
        <v>20</v>
      </c>
      <c r="F306">
        <v>17</v>
      </c>
      <c r="G306">
        <v>254</v>
      </c>
      <c r="H306">
        <v>19</v>
      </c>
      <c r="I306">
        <v>4940</v>
      </c>
      <c r="J306">
        <v>402</v>
      </c>
      <c r="K306">
        <v>403</v>
      </c>
      <c r="L306">
        <v>602</v>
      </c>
      <c r="M306">
        <v>1.28481781376518</v>
      </c>
      <c r="N306" t="s">
        <v>23</v>
      </c>
      <c r="O306">
        <v>0</v>
      </c>
    </row>
    <row r="307" spans="1:15" x14ac:dyDescent="0.35">
      <c r="A307">
        <v>306</v>
      </c>
      <c r="B307" t="s">
        <v>15</v>
      </c>
      <c r="C307" t="s">
        <v>24</v>
      </c>
      <c r="D307" s="1">
        <v>45380</v>
      </c>
      <c r="E307" t="s">
        <v>30</v>
      </c>
      <c r="F307">
        <v>9</v>
      </c>
      <c r="G307">
        <v>142</v>
      </c>
      <c r="H307">
        <v>9</v>
      </c>
      <c r="I307">
        <v>2486</v>
      </c>
      <c r="J307">
        <v>634</v>
      </c>
      <c r="K307">
        <v>88</v>
      </c>
      <c r="L307">
        <v>689</v>
      </c>
      <c r="M307">
        <v>1.56757843925985</v>
      </c>
      <c r="N307" t="s">
        <v>23</v>
      </c>
      <c r="O307">
        <v>0</v>
      </c>
    </row>
    <row r="308" spans="1:15" x14ac:dyDescent="0.35">
      <c r="A308">
        <v>307</v>
      </c>
      <c r="B308" t="s">
        <v>22</v>
      </c>
      <c r="C308" t="s">
        <v>24</v>
      </c>
      <c r="D308" s="1">
        <v>45351</v>
      </c>
      <c r="E308" t="s">
        <v>27</v>
      </c>
      <c r="F308">
        <v>10</v>
      </c>
      <c r="G308">
        <v>216</v>
      </c>
      <c r="H308">
        <v>13</v>
      </c>
      <c r="I308">
        <v>1549</v>
      </c>
      <c r="J308">
        <v>387</v>
      </c>
      <c r="K308">
        <v>146</v>
      </c>
      <c r="L308">
        <v>524</v>
      </c>
      <c r="M308">
        <v>1.6823757262750101</v>
      </c>
      <c r="N308" t="s">
        <v>21</v>
      </c>
      <c r="O308">
        <v>0</v>
      </c>
    </row>
    <row r="309" spans="1:15" x14ac:dyDescent="0.35">
      <c r="A309">
        <v>308</v>
      </c>
      <c r="B309" t="s">
        <v>15</v>
      </c>
      <c r="C309" t="s">
        <v>19</v>
      </c>
      <c r="D309" s="1">
        <v>45387</v>
      </c>
      <c r="E309" t="s">
        <v>30</v>
      </c>
      <c r="F309">
        <v>11</v>
      </c>
      <c r="G309">
        <v>270</v>
      </c>
      <c r="H309">
        <v>9</v>
      </c>
      <c r="I309">
        <v>4036</v>
      </c>
      <c r="J309">
        <v>655</v>
      </c>
      <c r="K309">
        <v>552</v>
      </c>
      <c r="L309">
        <v>661</v>
      </c>
      <c r="M309">
        <v>1.46283448959365</v>
      </c>
      <c r="N309" t="s">
        <v>23</v>
      </c>
      <c r="O309">
        <v>0</v>
      </c>
    </row>
    <row r="310" spans="1:15" x14ac:dyDescent="0.35">
      <c r="A310">
        <v>309</v>
      </c>
      <c r="B310" t="s">
        <v>15</v>
      </c>
      <c r="C310" t="s">
        <v>24</v>
      </c>
      <c r="D310" s="1">
        <v>45363</v>
      </c>
      <c r="E310" t="s">
        <v>17</v>
      </c>
      <c r="F310">
        <v>6</v>
      </c>
      <c r="G310">
        <v>268</v>
      </c>
      <c r="H310">
        <v>4</v>
      </c>
      <c r="I310">
        <v>1582</v>
      </c>
      <c r="J310">
        <v>327</v>
      </c>
      <c r="K310">
        <v>463</v>
      </c>
      <c r="L310">
        <v>635</v>
      </c>
      <c r="M310">
        <v>1.9007585335018899</v>
      </c>
      <c r="N310" t="s">
        <v>21</v>
      </c>
      <c r="O310">
        <v>0</v>
      </c>
    </row>
    <row r="311" spans="1:15" x14ac:dyDescent="0.35">
      <c r="A311">
        <v>310</v>
      </c>
      <c r="B311" t="s">
        <v>22</v>
      </c>
      <c r="C311" t="s">
        <v>24</v>
      </c>
      <c r="D311" s="1">
        <v>45391</v>
      </c>
      <c r="E311" t="s">
        <v>17</v>
      </c>
      <c r="F311">
        <v>21</v>
      </c>
      <c r="G311">
        <v>232</v>
      </c>
      <c r="H311">
        <v>14</v>
      </c>
      <c r="I311">
        <v>3195</v>
      </c>
      <c r="J311">
        <v>580</v>
      </c>
      <c r="K311">
        <v>519</v>
      </c>
      <c r="L311">
        <v>669</v>
      </c>
      <c r="M311">
        <v>1.55336463223787</v>
      </c>
      <c r="N311" t="s">
        <v>23</v>
      </c>
      <c r="O311">
        <v>0</v>
      </c>
    </row>
    <row r="312" spans="1:15" x14ac:dyDescent="0.35">
      <c r="A312">
        <v>311</v>
      </c>
      <c r="B312" t="s">
        <v>15</v>
      </c>
      <c r="C312" t="s">
        <v>24</v>
      </c>
      <c r="D312" s="1">
        <v>45542</v>
      </c>
      <c r="E312" t="s">
        <v>28</v>
      </c>
      <c r="F312">
        <v>7</v>
      </c>
      <c r="G312">
        <v>160</v>
      </c>
      <c r="H312">
        <v>7</v>
      </c>
      <c r="I312">
        <v>1420</v>
      </c>
      <c r="J312">
        <v>89</v>
      </c>
      <c r="K312">
        <v>580</v>
      </c>
      <c r="L312">
        <v>32</v>
      </c>
      <c r="M312">
        <v>1.49366197183098</v>
      </c>
      <c r="N312" t="s">
        <v>23</v>
      </c>
      <c r="O312">
        <v>0</v>
      </c>
    </row>
    <row r="313" spans="1:15" x14ac:dyDescent="0.35">
      <c r="A313">
        <v>312</v>
      </c>
      <c r="B313" t="s">
        <v>26</v>
      </c>
      <c r="C313" t="s">
        <v>24</v>
      </c>
      <c r="D313" s="1">
        <v>45567</v>
      </c>
      <c r="E313" t="s">
        <v>25</v>
      </c>
      <c r="F313">
        <v>23</v>
      </c>
      <c r="G313">
        <v>281</v>
      </c>
      <c r="H313">
        <v>3</v>
      </c>
      <c r="I313">
        <v>2414</v>
      </c>
      <c r="J313">
        <v>177</v>
      </c>
      <c r="K313">
        <v>470</v>
      </c>
      <c r="L313">
        <v>580</v>
      </c>
      <c r="M313">
        <v>1.5082850041425</v>
      </c>
      <c r="N313" t="s">
        <v>23</v>
      </c>
      <c r="O313">
        <v>0</v>
      </c>
    </row>
    <row r="314" spans="1:15" x14ac:dyDescent="0.35">
      <c r="A314">
        <v>313</v>
      </c>
      <c r="B314" t="s">
        <v>26</v>
      </c>
      <c r="C314" t="s">
        <v>16</v>
      </c>
      <c r="D314" s="1">
        <v>45585</v>
      </c>
      <c r="E314" t="s">
        <v>20</v>
      </c>
      <c r="F314">
        <v>20</v>
      </c>
      <c r="G314">
        <v>299</v>
      </c>
      <c r="H314">
        <v>6</v>
      </c>
      <c r="I314">
        <v>985</v>
      </c>
      <c r="J314">
        <v>279</v>
      </c>
      <c r="K314">
        <v>558</v>
      </c>
      <c r="L314">
        <v>376</v>
      </c>
      <c r="M314">
        <v>2.23147208121827</v>
      </c>
      <c r="N314" t="s">
        <v>21</v>
      </c>
      <c r="O314">
        <v>1</v>
      </c>
    </row>
    <row r="315" spans="1:15" x14ac:dyDescent="0.35">
      <c r="A315">
        <v>314</v>
      </c>
      <c r="B315" t="s">
        <v>15</v>
      </c>
      <c r="C315" t="s">
        <v>24</v>
      </c>
      <c r="D315" s="1">
        <v>45509</v>
      </c>
      <c r="E315" t="s">
        <v>29</v>
      </c>
      <c r="F315">
        <v>14</v>
      </c>
      <c r="G315">
        <v>198</v>
      </c>
      <c r="H315">
        <v>2</v>
      </c>
      <c r="I315">
        <v>888</v>
      </c>
      <c r="J315">
        <v>758</v>
      </c>
      <c r="K315">
        <v>255</v>
      </c>
      <c r="L315">
        <v>305</v>
      </c>
      <c r="M315">
        <v>2.4842342342342301</v>
      </c>
      <c r="N315" t="s">
        <v>18</v>
      </c>
      <c r="O315">
        <v>0</v>
      </c>
    </row>
    <row r="316" spans="1:15" x14ac:dyDescent="0.35">
      <c r="A316">
        <v>315</v>
      </c>
      <c r="B316" t="s">
        <v>26</v>
      </c>
      <c r="C316" t="s">
        <v>19</v>
      </c>
      <c r="D316" s="1">
        <v>45516</v>
      </c>
      <c r="E316" t="s">
        <v>29</v>
      </c>
      <c r="F316">
        <v>17</v>
      </c>
      <c r="G316">
        <v>239</v>
      </c>
      <c r="H316">
        <v>5</v>
      </c>
      <c r="I316">
        <v>1011</v>
      </c>
      <c r="J316">
        <v>799</v>
      </c>
      <c r="K316">
        <v>244</v>
      </c>
      <c r="L316">
        <v>215</v>
      </c>
      <c r="M316">
        <v>2.2443125618199802</v>
      </c>
      <c r="N316" t="s">
        <v>21</v>
      </c>
      <c r="O316">
        <v>0</v>
      </c>
    </row>
    <row r="317" spans="1:15" x14ac:dyDescent="0.35">
      <c r="A317">
        <v>316</v>
      </c>
      <c r="B317" t="s">
        <v>22</v>
      </c>
      <c r="C317" t="s">
        <v>19</v>
      </c>
      <c r="D317" s="1">
        <v>45363</v>
      </c>
      <c r="E317" t="s">
        <v>17</v>
      </c>
      <c r="F317">
        <v>14</v>
      </c>
      <c r="G317">
        <v>295</v>
      </c>
      <c r="H317">
        <v>5</v>
      </c>
      <c r="I317">
        <v>1742</v>
      </c>
      <c r="J317">
        <v>216</v>
      </c>
      <c r="K317">
        <v>62</v>
      </c>
      <c r="L317">
        <v>584</v>
      </c>
      <c r="M317">
        <v>1.4948335246842701</v>
      </c>
      <c r="N317" t="s">
        <v>23</v>
      </c>
      <c r="O317">
        <v>0</v>
      </c>
    </row>
    <row r="318" spans="1:15" x14ac:dyDescent="0.35">
      <c r="A318">
        <v>317</v>
      </c>
      <c r="B318" t="s">
        <v>26</v>
      </c>
      <c r="C318" t="s">
        <v>19</v>
      </c>
      <c r="D318" s="1">
        <v>45457</v>
      </c>
      <c r="E318" t="s">
        <v>30</v>
      </c>
      <c r="F318">
        <v>9</v>
      </c>
      <c r="G318">
        <v>89</v>
      </c>
      <c r="H318">
        <v>13</v>
      </c>
      <c r="I318">
        <v>2447</v>
      </c>
      <c r="J318">
        <v>301</v>
      </c>
      <c r="K318">
        <v>588</v>
      </c>
      <c r="L318">
        <v>274</v>
      </c>
      <c r="M318">
        <v>1.47527584797711</v>
      </c>
      <c r="N318" t="s">
        <v>23</v>
      </c>
      <c r="O318">
        <v>0</v>
      </c>
    </row>
    <row r="319" spans="1:15" x14ac:dyDescent="0.35">
      <c r="A319">
        <v>318</v>
      </c>
      <c r="B319" t="s">
        <v>15</v>
      </c>
      <c r="C319" t="s">
        <v>16</v>
      </c>
      <c r="D319" s="1">
        <v>45322</v>
      </c>
      <c r="E319" t="s">
        <v>25</v>
      </c>
      <c r="F319">
        <v>16</v>
      </c>
      <c r="G319">
        <v>146</v>
      </c>
      <c r="H319">
        <v>12</v>
      </c>
      <c r="I319">
        <v>2321</v>
      </c>
      <c r="J319">
        <v>676</v>
      </c>
      <c r="K319">
        <v>131</v>
      </c>
      <c r="L319">
        <v>136</v>
      </c>
      <c r="M319">
        <v>1.4062903920723799</v>
      </c>
      <c r="N319" t="s">
        <v>23</v>
      </c>
      <c r="O319">
        <v>0</v>
      </c>
    </row>
    <row r="320" spans="1:15" x14ac:dyDescent="0.35">
      <c r="A320">
        <v>319</v>
      </c>
      <c r="B320" t="s">
        <v>22</v>
      </c>
      <c r="C320" t="s">
        <v>24</v>
      </c>
      <c r="D320" s="1">
        <v>45542</v>
      </c>
      <c r="E320" t="s">
        <v>28</v>
      </c>
      <c r="F320">
        <v>20</v>
      </c>
      <c r="G320">
        <v>58</v>
      </c>
      <c r="H320">
        <v>20</v>
      </c>
      <c r="I320">
        <v>1214</v>
      </c>
      <c r="J320">
        <v>596</v>
      </c>
      <c r="K320">
        <v>277</v>
      </c>
      <c r="L320">
        <v>643</v>
      </c>
      <c r="M320">
        <v>2.2487644151564998</v>
      </c>
      <c r="N320" t="s">
        <v>21</v>
      </c>
      <c r="O320">
        <v>0</v>
      </c>
    </row>
    <row r="321" spans="1:15" x14ac:dyDescent="0.35">
      <c r="A321">
        <v>320</v>
      </c>
      <c r="B321" t="s">
        <v>22</v>
      </c>
      <c r="C321" t="s">
        <v>24</v>
      </c>
      <c r="D321" s="1">
        <v>45339</v>
      </c>
      <c r="E321" t="s">
        <v>28</v>
      </c>
      <c r="F321">
        <v>16</v>
      </c>
      <c r="G321">
        <v>21</v>
      </c>
      <c r="H321">
        <v>2</v>
      </c>
      <c r="I321">
        <v>3350</v>
      </c>
      <c r="J321">
        <v>532</v>
      </c>
      <c r="K321">
        <v>286</v>
      </c>
      <c r="L321">
        <v>378</v>
      </c>
      <c r="M321">
        <v>1.3570149253731301</v>
      </c>
      <c r="N321" t="s">
        <v>23</v>
      </c>
      <c r="O321">
        <v>0</v>
      </c>
    </row>
    <row r="322" spans="1:15" x14ac:dyDescent="0.35">
      <c r="A322">
        <v>321</v>
      </c>
      <c r="B322" t="s">
        <v>15</v>
      </c>
      <c r="C322" t="s">
        <v>24</v>
      </c>
      <c r="D322" s="1">
        <v>45526</v>
      </c>
      <c r="E322" t="s">
        <v>27</v>
      </c>
      <c r="F322">
        <v>12</v>
      </c>
      <c r="G322">
        <v>273</v>
      </c>
      <c r="H322">
        <v>8</v>
      </c>
      <c r="I322">
        <v>2984</v>
      </c>
      <c r="J322">
        <v>69</v>
      </c>
      <c r="K322">
        <v>549</v>
      </c>
      <c r="L322">
        <v>408</v>
      </c>
      <c r="M322">
        <v>1.34383378016085</v>
      </c>
      <c r="N322" t="s">
        <v>23</v>
      </c>
      <c r="O322">
        <v>0</v>
      </c>
    </row>
    <row r="323" spans="1:15" x14ac:dyDescent="0.35">
      <c r="A323">
        <v>322</v>
      </c>
      <c r="B323" t="s">
        <v>15</v>
      </c>
      <c r="C323" t="s">
        <v>19</v>
      </c>
      <c r="D323" s="1">
        <v>45457</v>
      </c>
      <c r="E323" t="s">
        <v>30</v>
      </c>
      <c r="F323">
        <v>21</v>
      </c>
      <c r="G323">
        <v>195</v>
      </c>
      <c r="H323">
        <v>1</v>
      </c>
      <c r="I323">
        <v>2373</v>
      </c>
      <c r="J323">
        <v>350</v>
      </c>
      <c r="K323">
        <v>562</v>
      </c>
      <c r="L323">
        <v>592</v>
      </c>
      <c r="M323">
        <v>1.6337968815844901</v>
      </c>
      <c r="N323" t="s">
        <v>21</v>
      </c>
      <c r="O323">
        <v>0</v>
      </c>
    </row>
    <row r="324" spans="1:15" x14ac:dyDescent="0.35">
      <c r="A324">
        <v>323</v>
      </c>
      <c r="B324" t="s">
        <v>15</v>
      </c>
      <c r="C324" t="s">
        <v>16</v>
      </c>
      <c r="D324" s="1">
        <v>45315</v>
      </c>
      <c r="E324" t="s">
        <v>25</v>
      </c>
      <c r="F324">
        <v>20</v>
      </c>
      <c r="G324">
        <v>253</v>
      </c>
      <c r="H324">
        <v>0</v>
      </c>
      <c r="I324">
        <v>865</v>
      </c>
      <c r="J324">
        <v>646</v>
      </c>
      <c r="K324">
        <v>472</v>
      </c>
      <c r="L324">
        <v>17</v>
      </c>
      <c r="M324">
        <v>2.3121387283237</v>
      </c>
      <c r="N324" t="s">
        <v>21</v>
      </c>
      <c r="O324">
        <v>0</v>
      </c>
    </row>
    <row r="325" spans="1:15" x14ac:dyDescent="0.35">
      <c r="A325">
        <v>324</v>
      </c>
      <c r="B325" t="s">
        <v>22</v>
      </c>
      <c r="C325" t="s">
        <v>16</v>
      </c>
      <c r="D325" s="1">
        <v>45511</v>
      </c>
      <c r="E325" t="s">
        <v>25</v>
      </c>
      <c r="F325">
        <v>14</v>
      </c>
      <c r="G325">
        <v>67</v>
      </c>
      <c r="H325">
        <v>20</v>
      </c>
      <c r="I325">
        <v>1707</v>
      </c>
      <c r="J325">
        <v>710</v>
      </c>
      <c r="K325">
        <v>137</v>
      </c>
      <c r="L325">
        <v>666</v>
      </c>
      <c r="M325">
        <v>1.8863503222026901</v>
      </c>
      <c r="N325" t="s">
        <v>21</v>
      </c>
      <c r="O325">
        <v>0</v>
      </c>
    </row>
    <row r="326" spans="1:15" x14ac:dyDescent="0.35">
      <c r="A326">
        <v>325</v>
      </c>
      <c r="B326" t="s">
        <v>26</v>
      </c>
      <c r="C326" t="s">
        <v>16</v>
      </c>
      <c r="D326" s="1">
        <v>45476</v>
      </c>
      <c r="E326" t="s">
        <v>25</v>
      </c>
      <c r="F326">
        <v>7</v>
      </c>
      <c r="G326">
        <v>222</v>
      </c>
      <c r="H326">
        <v>20</v>
      </c>
      <c r="I326">
        <v>2101</v>
      </c>
      <c r="J326">
        <v>89</v>
      </c>
      <c r="K326">
        <v>382</v>
      </c>
      <c r="L326">
        <v>681</v>
      </c>
      <c r="M326">
        <v>1.5483103284150399</v>
      </c>
      <c r="N326" t="s">
        <v>23</v>
      </c>
      <c r="O326">
        <v>0</v>
      </c>
    </row>
    <row r="327" spans="1:15" x14ac:dyDescent="0.35">
      <c r="A327">
        <v>326</v>
      </c>
      <c r="B327" t="s">
        <v>15</v>
      </c>
      <c r="C327" t="s">
        <v>16</v>
      </c>
      <c r="D327" s="1">
        <v>45448</v>
      </c>
      <c r="E327" t="s">
        <v>25</v>
      </c>
      <c r="F327">
        <v>21</v>
      </c>
      <c r="G327">
        <v>59</v>
      </c>
      <c r="H327">
        <v>4</v>
      </c>
      <c r="I327">
        <v>1968</v>
      </c>
      <c r="J327">
        <v>444</v>
      </c>
      <c r="K327">
        <v>95</v>
      </c>
      <c r="L327">
        <v>98</v>
      </c>
      <c r="M327">
        <v>1.3236788617886099</v>
      </c>
      <c r="N327" t="s">
        <v>23</v>
      </c>
      <c r="O327">
        <v>0</v>
      </c>
    </row>
    <row r="328" spans="1:15" x14ac:dyDescent="0.35">
      <c r="A328">
        <v>327</v>
      </c>
      <c r="B328" t="s">
        <v>15</v>
      </c>
      <c r="C328" t="s">
        <v>19</v>
      </c>
      <c r="D328" s="1">
        <v>45407</v>
      </c>
      <c r="E328" t="s">
        <v>27</v>
      </c>
      <c r="F328">
        <v>16</v>
      </c>
      <c r="G328">
        <v>81</v>
      </c>
      <c r="H328">
        <v>13</v>
      </c>
      <c r="I328">
        <v>4305</v>
      </c>
      <c r="J328">
        <v>701</v>
      </c>
      <c r="K328">
        <v>457</v>
      </c>
      <c r="L328">
        <v>10</v>
      </c>
      <c r="M328">
        <v>1.2713124274099801</v>
      </c>
      <c r="N328" t="s">
        <v>23</v>
      </c>
      <c r="O328">
        <v>0</v>
      </c>
    </row>
    <row r="329" spans="1:15" x14ac:dyDescent="0.35">
      <c r="A329">
        <v>328</v>
      </c>
      <c r="B329" t="s">
        <v>15</v>
      </c>
      <c r="C329" t="s">
        <v>19</v>
      </c>
      <c r="D329" s="1">
        <v>45359</v>
      </c>
      <c r="E329" t="s">
        <v>30</v>
      </c>
      <c r="F329">
        <v>9</v>
      </c>
      <c r="G329">
        <v>72</v>
      </c>
      <c r="H329">
        <v>10</v>
      </c>
      <c r="I329">
        <v>3963</v>
      </c>
      <c r="J329">
        <v>77</v>
      </c>
      <c r="K329">
        <v>236</v>
      </c>
      <c r="L329">
        <v>393</v>
      </c>
      <c r="M329">
        <v>1.1781478677769299</v>
      </c>
      <c r="N329" t="s">
        <v>23</v>
      </c>
      <c r="O329">
        <v>0</v>
      </c>
    </row>
    <row r="330" spans="1:15" x14ac:dyDescent="0.35">
      <c r="A330">
        <v>329</v>
      </c>
      <c r="B330" t="s">
        <v>26</v>
      </c>
      <c r="C330" t="s">
        <v>19</v>
      </c>
      <c r="D330" s="1">
        <v>45480</v>
      </c>
      <c r="E330" t="s">
        <v>20</v>
      </c>
      <c r="F330">
        <v>10</v>
      </c>
      <c r="G330">
        <v>55</v>
      </c>
      <c r="H330">
        <v>16</v>
      </c>
      <c r="I330">
        <v>2501</v>
      </c>
      <c r="J330">
        <v>145</v>
      </c>
      <c r="K330">
        <v>393</v>
      </c>
      <c r="L330">
        <v>137</v>
      </c>
      <c r="M330">
        <v>1.2698920431827201</v>
      </c>
      <c r="N330" t="s">
        <v>23</v>
      </c>
      <c r="O330">
        <v>0</v>
      </c>
    </row>
    <row r="331" spans="1:15" x14ac:dyDescent="0.35">
      <c r="A331">
        <v>330</v>
      </c>
      <c r="B331" t="s">
        <v>22</v>
      </c>
      <c r="C331" t="s">
        <v>19</v>
      </c>
      <c r="D331" s="1">
        <v>45580</v>
      </c>
      <c r="E331" t="s">
        <v>17</v>
      </c>
      <c r="F331">
        <v>12</v>
      </c>
      <c r="G331">
        <v>97</v>
      </c>
      <c r="H331">
        <v>13</v>
      </c>
      <c r="I331">
        <v>119</v>
      </c>
      <c r="J331">
        <v>629</v>
      </c>
      <c r="K331">
        <v>170</v>
      </c>
      <c r="L331">
        <v>451</v>
      </c>
      <c r="M331">
        <v>11.5042016806722</v>
      </c>
      <c r="N331" t="s">
        <v>18</v>
      </c>
      <c r="O331">
        <v>0</v>
      </c>
    </row>
    <row r="332" spans="1:15" x14ac:dyDescent="0.35">
      <c r="A332">
        <v>331</v>
      </c>
      <c r="B332" t="s">
        <v>15</v>
      </c>
      <c r="C332" t="s">
        <v>19</v>
      </c>
      <c r="D332" s="1">
        <v>45518</v>
      </c>
      <c r="E332" t="s">
        <v>25</v>
      </c>
      <c r="F332">
        <v>18</v>
      </c>
      <c r="G332">
        <v>199</v>
      </c>
      <c r="H332">
        <v>13</v>
      </c>
      <c r="I332">
        <v>1829</v>
      </c>
      <c r="J332">
        <v>93</v>
      </c>
      <c r="K332">
        <v>104</v>
      </c>
      <c r="L332">
        <v>144</v>
      </c>
      <c r="M332">
        <v>1.1864406779661001</v>
      </c>
      <c r="N332" t="s">
        <v>23</v>
      </c>
      <c r="O332">
        <v>0</v>
      </c>
    </row>
    <row r="333" spans="1:15" x14ac:dyDescent="0.35">
      <c r="A333">
        <v>332</v>
      </c>
      <c r="B333" t="s">
        <v>15</v>
      </c>
      <c r="C333" t="s">
        <v>16</v>
      </c>
      <c r="D333" s="1">
        <v>45453</v>
      </c>
      <c r="E333" t="s">
        <v>29</v>
      </c>
      <c r="F333">
        <v>23</v>
      </c>
      <c r="G333">
        <v>165</v>
      </c>
      <c r="H333">
        <v>0</v>
      </c>
      <c r="I333">
        <v>1195</v>
      </c>
      <c r="J333">
        <v>258</v>
      </c>
      <c r="K333">
        <v>285</v>
      </c>
      <c r="L333">
        <v>661</v>
      </c>
      <c r="M333">
        <v>2.0075313807531301</v>
      </c>
      <c r="N333" t="s">
        <v>21</v>
      </c>
      <c r="O333">
        <v>0</v>
      </c>
    </row>
    <row r="334" spans="1:15" x14ac:dyDescent="0.35">
      <c r="A334">
        <v>333</v>
      </c>
      <c r="B334" t="s">
        <v>26</v>
      </c>
      <c r="C334" t="s">
        <v>24</v>
      </c>
      <c r="D334" s="1">
        <v>45446</v>
      </c>
      <c r="E334" t="s">
        <v>29</v>
      </c>
      <c r="F334">
        <v>15</v>
      </c>
      <c r="G334">
        <v>47</v>
      </c>
      <c r="H334">
        <v>7</v>
      </c>
      <c r="I334">
        <v>1733</v>
      </c>
      <c r="J334">
        <v>535</v>
      </c>
      <c r="K334">
        <v>523</v>
      </c>
      <c r="L334">
        <v>194</v>
      </c>
      <c r="M334">
        <v>1.7224466243508301</v>
      </c>
      <c r="N334" t="s">
        <v>21</v>
      </c>
      <c r="O334">
        <v>0</v>
      </c>
    </row>
    <row r="335" spans="1:15" x14ac:dyDescent="0.35">
      <c r="A335">
        <v>334</v>
      </c>
      <c r="B335" t="s">
        <v>26</v>
      </c>
      <c r="C335" t="s">
        <v>19</v>
      </c>
      <c r="D335" s="1">
        <v>45545</v>
      </c>
      <c r="E335" t="s">
        <v>17</v>
      </c>
      <c r="F335">
        <v>8</v>
      </c>
      <c r="G335">
        <v>290</v>
      </c>
      <c r="H335">
        <v>0</v>
      </c>
      <c r="I335">
        <v>3211</v>
      </c>
      <c r="J335">
        <v>120</v>
      </c>
      <c r="K335">
        <v>248</v>
      </c>
      <c r="L335">
        <v>512</v>
      </c>
      <c r="M335">
        <v>1.27405792587978</v>
      </c>
      <c r="N335" t="s">
        <v>23</v>
      </c>
      <c r="O335">
        <v>0</v>
      </c>
    </row>
    <row r="336" spans="1:15" x14ac:dyDescent="0.35">
      <c r="A336">
        <v>335</v>
      </c>
      <c r="B336" t="s">
        <v>22</v>
      </c>
      <c r="C336" t="s">
        <v>24</v>
      </c>
      <c r="D336" s="1">
        <v>45476</v>
      </c>
      <c r="E336" t="s">
        <v>25</v>
      </c>
      <c r="F336">
        <v>23</v>
      </c>
      <c r="G336">
        <v>108</v>
      </c>
      <c r="H336">
        <v>15</v>
      </c>
      <c r="I336">
        <v>2642</v>
      </c>
      <c r="J336">
        <v>140</v>
      </c>
      <c r="K336">
        <v>398</v>
      </c>
      <c r="L336">
        <v>583</v>
      </c>
      <c r="M336">
        <v>1.4242997728993101</v>
      </c>
      <c r="N336" t="s">
        <v>23</v>
      </c>
      <c r="O336">
        <v>0</v>
      </c>
    </row>
    <row r="337" spans="1:15" x14ac:dyDescent="0.35">
      <c r="A337">
        <v>336</v>
      </c>
      <c r="B337" t="s">
        <v>22</v>
      </c>
      <c r="C337" t="s">
        <v>16</v>
      </c>
      <c r="D337" s="1">
        <v>45329</v>
      </c>
      <c r="E337" t="s">
        <v>25</v>
      </c>
      <c r="F337">
        <v>7</v>
      </c>
      <c r="G337">
        <v>50</v>
      </c>
      <c r="H337">
        <v>12</v>
      </c>
      <c r="I337">
        <v>186</v>
      </c>
      <c r="J337">
        <v>606</v>
      </c>
      <c r="K337">
        <v>71</v>
      </c>
      <c r="L337">
        <v>15</v>
      </c>
      <c r="M337">
        <v>4.7204301075268802</v>
      </c>
      <c r="N337" t="s">
        <v>18</v>
      </c>
      <c r="O337">
        <v>0</v>
      </c>
    </row>
    <row r="338" spans="1:15" x14ac:dyDescent="0.35">
      <c r="A338">
        <v>337</v>
      </c>
      <c r="B338" t="s">
        <v>22</v>
      </c>
      <c r="C338" t="s">
        <v>19</v>
      </c>
      <c r="D338" s="1">
        <v>45551</v>
      </c>
      <c r="E338" t="s">
        <v>29</v>
      </c>
      <c r="F338">
        <v>18</v>
      </c>
      <c r="G338">
        <v>62</v>
      </c>
      <c r="H338">
        <v>20</v>
      </c>
      <c r="I338">
        <v>2396</v>
      </c>
      <c r="J338">
        <v>648</v>
      </c>
      <c r="K338">
        <v>515</v>
      </c>
      <c r="L338">
        <v>426</v>
      </c>
      <c r="M338">
        <v>1.6631886477462401</v>
      </c>
      <c r="N338" t="s">
        <v>21</v>
      </c>
      <c r="O338">
        <v>0</v>
      </c>
    </row>
    <row r="339" spans="1:15" x14ac:dyDescent="0.35">
      <c r="A339">
        <v>338</v>
      </c>
      <c r="B339" t="s">
        <v>15</v>
      </c>
      <c r="C339" t="s">
        <v>24</v>
      </c>
      <c r="D339" s="1">
        <v>45566</v>
      </c>
      <c r="E339" t="s">
        <v>17</v>
      </c>
      <c r="F339">
        <v>8</v>
      </c>
      <c r="G339">
        <v>281</v>
      </c>
      <c r="H339">
        <v>6</v>
      </c>
      <c r="I339">
        <v>4454</v>
      </c>
      <c r="J339">
        <v>635</v>
      </c>
      <c r="K339">
        <v>158</v>
      </c>
      <c r="L339">
        <v>285</v>
      </c>
      <c r="M339">
        <v>1.24202963628199</v>
      </c>
      <c r="N339" t="s">
        <v>23</v>
      </c>
      <c r="O339">
        <v>0</v>
      </c>
    </row>
    <row r="340" spans="1:15" x14ac:dyDescent="0.35">
      <c r="A340">
        <v>339</v>
      </c>
      <c r="B340" t="s">
        <v>26</v>
      </c>
      <c r="C340" t="s">
        <v>19</v>
      </c>
      <c r="D340" s="1">
        <v>45371</v>
      </c>
      <c r="E340" t="s">
        <v>25</v>
      </c>
      <c r="F340">
        <v>8</v>
      </c>
      <c r="G340">
        <v>178</v>
      </c>
      <c r="H340">
        <v>13</v>
      </c>
      <c r="I340">
        <v>4444</v>
      </c>
      <c r="J340">
        <v>339</v>
      </c>
      <c r="K340">
        <v>402</v>
      </c>
      <c r="L340">
        <v>601</v>
      </c>
      <c r="M340">
        <v>1.3019801980198</v>
      </c>
      <c r="N340" t="s">
        <v>23</v>
      </c>
      <c r="O340">
        <v>0</v>
      </c>
    </row>
    <row r="341" spans="1:15" x14ac:dyDescent="0.35">
      <c r="A341">
        <v>340</v>
      </c>
      <c r="B341" t="s">
        <v>15</v>
      </c>
      <c r="C341" t="s">
        <v>24</v>
      </c>
      <c r="D341" s="1">
        <v>45414</v>
      </c>
      <c r="E341" t="s">
        <v>27</v>
      </c>
      <c r="F341">
        <v>7</v>
      </c>
      <c r="G341">
        <v>178</v>
      </c>
      <c r="H341">
        <v>5</v>
      </c>
      <c r="I341">
        <v>524</v>
      </c>
      <c r="J341">
        <v>255</v>
      </c>
      <c r="K341">
        <v>90</v>
      </c>
      <c r="L341">
        <v>445</v>
      </c>
      <c r="M341">
        <v>2.5076335877862501</v>
      </c>
      <c r="N341" t="s">
        <v>18</v>
      </c>
      <c r="O341">
        <v>0</v>
      </c>
    </row>
    <row r="342" spans="1:15" x14ac:dyDescent="0.35">
      <c r="A342">
        <v>341</v>
      </c>
      <c r="B342" t="s">
        <v>15</v>
      </c>
      <c r="C342" t="s">
        <v>24</v>
      </c>
      <c r="D342" s="1">
        <v>45353</v>
      </c>
      <c r="E342" t="s">
        <v>28</v>
      </c>
      <c r="F342">
        <v>17</v>
      </c>
      <c r="G342">
        <v>287</v>
      </c>
      <c r="H342">
        <v>16</v>
      </c>
      <c r="I342">
        <v>153</v>
      </c>
      <c r="J342">
        <v>729</v>
      </c>
      <c r="K342">
        <v>142</v>
      </c>
      <c r="L342">
        <v>12</v>
      </c>
      <c r="M342">
        <v>6.7712418300653496</v>
      </c>
      <c r="N342" t="s">
        <v>18</v>
      </c>
      <c r="O342">
        <v>0</v>
      </c>
    </row>
    <row r="343" spans="1:15" x14ac:dyDescent="0.35">
      <c r="A343">
        <v>342</v>
      </c>
      <c r="B343" t="s">
        <v>26</v>
      </c>
      <c r="C343" t="s">
        <v>16</v>
      </c>
      <c r="D343" s="1">
        <v>45424</v>
      </c>
      <c r="E343" t="s">
        <v>20</v>
      </c>
      <c r="F343">
        <v>6</v>
      </c>
      <c r="G343">
        <v>191</v>
      </c>
      <c r="H343">
        <v>13</v>
      </c>
      <c r="I343">
        <v>1417</v>
      </c>
      <c r="J343">
        <v>385</v>
      </c>
      <c r="K343">
        <v>131</v>
      </c>
      <c r="L343">
        <v>276</v>
      </c>
      <c r="M343">
        <v>1.5589273112208799</v>
      </c>
      <c r="N343" t="s">
        <v>23</v>
      </c>
      <c r="O343">
        <v>0</v>
      </c>
    </row>
    <row r="344" spans="1:15" x14ac:dyDescent="0.35">
      <c r="A344">
        <v>343</v>
      </c>
      <c r="B344" t="s">
        <v>26</v>
      </c>
      <c r="C344" t="s">
        <v>16</v>
      </c>
      <c r="D344" s="1">
        <v>45431</v>
      </c>
      <c r="E344" t="s">
        <v>20</v>
      </c>
      <c r="F344">
        <v>21</v>
      </c>
      <c r="G344">
        <v>253</v>
      </c>
      <c r="H344">
        <v>16</v>
      </c>
      <c r="I344">
        <v>4341</v>
      </c>
      <c r="J344">
        <v>70</v>
      </c>
      <c r="K344">
        <v>271</v>
      </c>
      <c r="L344">
        <v>591</v>
      </c>
      <c r="M344">
        <v>1.21469707440681</v>
      </c>
      <c r="N344" t="s">
        <v>23</v>
      </c>
      <c r="O344">
        <v>0</v>
      </c>
    </row>
    <row r="345" spans="1:15" x14ac:dyDescent="0.35">
      <c r="A345">
        <v>344</v>
      </c>
      <c r="B345" t="s">
        <v>22</v>
      </c>
      <c r="C345" t="s">
        <v>16</v>
      </c>
      <c r="D345" s="1">
        <v>45476</v>
      </c>
      <c r="E345" t="s">
        <v>25</v>
      </c>
      <c r="F345">
        <v>14</v>
      </c>
      <c r="G345">
        <v>72</v>
      </c>
      <c r="H345">
        <v>18</v>
      </c>
      <c r="I345">
        <v>504</v>
      </c>
      <c r="J345">
        <v>516</v>
      </c>
      <c r="K345">
        <v>582</v>
      </c>
      <c r="L345">
        <v>171</v>
      </c>
      <c r="M345">
        <v>3.5178571428571401</v>
      </c>
      <c r="N345" t="s">
        <v>18</v>
      </c>
      <c r="O345">
        <v>1</v>
      </c>
    </row>
    <row r="346" spans="1:15" x14ac:dyDescent="0.35">
      <c r="A346">
        <v>345</v>
      </c>
      <c r="B346" t="s">
        <v>15</v>
      </c>
      <c r="C346" t="s">
        <v>16</v>
      </c>
      <c r="D346" s="1">
        <v>45351</v>
      </c>
      <c r="E346" t="s">
        <v>27</v>
      </c>
      <c r="F346">
        <v>13</v>
      </c>
      <c r="G346">
        <v>43</v>
      </c>
      <c r="H346">
        <v>15</v>
      </c>
      <c r="I346">
        <v>1921</v>
      </c>
      <c r="J346">
        <v>763</v>
      </c>
      <c r="K346">
        <v>523</v>
      </c>
      <c r="L346">
        <v>3</v>
      </c>
      <c r="M346">
        <v>1.6710046850598601</v>
      </c>
      <c r="N346" t="s">
        <v>21</v>
      </c>
      <c r="O346">
        <v>0</v>
      </c>
    </row>
    <row r="347" spans="1:15" x14ac:dyDescent="0.35">
      <c r="A347">
        <v>346</v>
      </c>
      <c r="B347" t="s">
        <v>26</v>
      </c>
      <c r="C347" t="s">
        <v>19</v>
      </c>
      <c r="D347" s="1">
        <v>45478</v>
      </c>
      <c r="E347" t="s">
        <v>30</v>
      </c>
      <c r="F347">
        <v>19</v>
      </c>
      <c r="G347">
        <v>134</v>
      </c>
      <c r="H347">
        <v>10</v>
      </c>
      <c r="I347">
        <v>3187</v>
      </c>
      <c r="J347">
        <v>158</v>
      </c>
      <c r="K347">
        <v>185</v>
      </c>
      <c r="L347">
        <v>37</v>
      </c>
      <c r="M347">
        <v>1.11923438970818</v>
      </c>
      <c r="N347" t="s">
        <v>23</v>
      </c>
      <c r="O347">
        <v>0</v>
      </c>
    </row>
    <row r="348" spans="1:15" x14ac:dyDescent="0.35">
      <c r="A348">
        <v>347</v>
      </c>
      <c r="B348" t="s">
        <v>15</v>
      </c>
      <c r="C348" t="s">
        <v>19</v>
      </c>
      <c r="D348" s="1">
        <v>45419</v>
      </c>
      <c r="E348" t="s">
        <v>17</v>
      </c>
      <c r="F348">
        <v>17</v>
      </c>
      <c r="G348">
        <v>81</v>
      </c>
      <c r="H348">
        <v>16</v>
      </c>
      <c r="I348">
        <v>3459</v>
      </c>
      <c r="J348">
        <v>742</v>
      </c>
      <c r="K348">
        <v>329</v>
      </c>
      <c r="L348">
        <v>278</v>
      </c>
      <c r="M348">
        <v>1.3899971089910299</v>
      </c>
      <c r="N348" t="s">
        <v>23</v>
      </c>
      <c r="O348">
        <v>0</v>
      </c>
    </row>
    <row r="349" spans="1:15" x14ac:dyDescent="0.35">
      <c r="A349">
        <v>348</v>
      </c>
      <c r="B349" t="s">
        <v>22</v>
      </c>
      <c r="C349" t="s">
        <v>16</v>
      </c>
      <c r="D349" s="1">
        <v>45318</v>
      </c>
      <c r="E349" t="s">
        <v>28</v>
      </c>
      <c r="F349">
        <v>20</v>
      </c>
      <c r="G349">
        <v>164</v>
      </c>
      <c r="H349">
        <v>9</v>
      </c>
      <c r="I349">
        <v>1519</v>
      </c>
      <c r="J349">
        <v>233</v>
      </c>
      <c r="K349">
        <v>530</v>
      </c>
      <c r="L349">
        <v>48</v>
      </c>
      <c r="M349">
        <v>1.53390388413429</v>
      </c>
      <c r="N349" t="s">
        <v>23</v>
      </c>
      <c r="O349">
        <v>0</v>
      </c>
    </row>
    <row r="350" spans="1:15" x14ac:dyDescent="0.35">
      <c r="A350">
        <v>349</v>
      </c>
      <c r="B350" t="s">
        <v>22</v>
      </c>
      <c r="C350" t="s">
        <v>16</v>
      </c>
      <c r="D350" s="1">
        <v>45459</v>
      </c>
      <c r="E350" t="s">
        <v>20</v>
      </c>
      <c r="F350">
        <v>15</v>
      </c>
      <c r="G350">
        <v>175</v>
      </c>
      <c r="H350">
        <v>19</v>
      </c>
      <c r="I350">
        <v>757</v>
      </c>
      <c r="J350">
        <v>571</v>
      </c>
      <c r="K350">
        <v>469</v>
      </c>
      <c r="L350">
        <v>9</v>
      </c>
      <c r="M350">
        <v>2.38573315719947</v>
      </c>
      <c r="N350" t="s">
        <v>21</v>
      </c>
      <c r="O350">
        <v>0</v>
      </c>
    </row>
    <row r="351" spans="1:15" x14ac:dyDescent="0.35">
      <c r="A351">
        <v>350</v>
      </c>
      <c r="B351" t="s">
        <v>26</v>
      </c>
      <c r="C351" t="s">
        <v>19</v>
      </c>
      <c r="D351" s="1">
        <v>45416</v>
      </c>
      <c r="E351" t="s">
        <v>28</v>
      </c>
      <c r="F351">
        <v>13</v>
      </c>
      <c r="G351">
        <v>97</v>
      </c>
      <c r="H351">
        <v>0</v>
      </c>
      <c r="I351">
        <v>3850</v>
      </c>
      <c r="J351">
        <v>382</v>
      </c>
      <c r="K351">
        <v>507</v>
      </c>
      <c r="L351">
        <v>201</v>
      </c>
      <c r="M351">
        <v>1.28311688311688</v>
      </c>
      <c r="N351" t="s">
        <v>23</v>
      </c>
      <c r="O351">
        <v>0</v>
      </c>
    </row>
    <row r="352" spans="1:15" x14ac:dyDescent="0.35">
      <c r="A352">
        <v>351</v>
      </c>
      <c r="B352" t="s">
        <v>26</v>
      </c>
      <c r="C352" t="s">
        <v>19</v>
      </c>
      <c r="D352" s="1">
        <v>45501</v>
      </c>
      <c r="E352" t="s">
        <v>20</v>
      </c>
      <c r="F352">
        <v>6</v>
      </c>
      <c r="G352">
        <v>191</v>
      </c>
      <c r="H352">
        <v>0</v>
      </c>
      <c r="I352">
        <v>245</v>
      </c>
      <c r="J352">
        <v>243</v>
      </c>
      <c r="K352">
        <v>556</v>
      </c>
      <c r="L352">
        <v>355</v>
      </c>
      <c r="M352">
        <v>5.71020408163265</v>
      </c>
      <c r="N352" t="s">
        <v>18</v>
      </c>
      <c r="O352">
        <v>1</v>
      </c>
    </row>
    <row r="353" spans="1:15" x14ac:dyDescent="0.35">
      <c r="A353">
        <v>352</v>
      </c>
      <c r="B353" t="s">
        <v>15</v>
      </c>
      <c r="C353" t="s">
        <v>24</v>
      </c>
      <c r="D353" s="1">
        <v>45484</v>
      </c>
      <c r="E353" t="s">
        <v>27</v>
      </c>
      <c r="F353">
        <v>21</v>
      </c>
      <c r="G353">
        <v>50</v>
      </c>
      <c r="H353">
        <v>4</v>
      </c>
      <c r="I353">
        <v>2569</v>
      </c>
      <c r="J353">
        <v>111</v>
      </c>
      <c r="K353">
        <v>212</v>
      </c>
      <c r="L353">
        <v>543</v>
      </c>
      <c r="M353">
        <v>1.33709614636045</v>
      </c>
      <c r="N353" t="s">
        <v>23</v>
      </c>
      <c r="O353">
        <v>0</v>
      </c>
    </row>
    <row r="354" spans="1:15" x14ac:dyDescent="0.35">
      <c r="A354">
        <v>353</v>
      </c>
      <c r="B354" t="s">
        <v>22</v>
      </c>
      <c r="C354" t="s">
        <v>19</v>
      </c>
      <c r="D354" s="1">
        <v>45435</v>
      </c>
      <c r="E354" t="s">
        <v>27</v>
      </c>
      <c r="F354">
        <v>17</v>
      </c>
      <c r="G354">
        <v>254</v>
      </c>
      <c r="H354">
        <v>2</v>
      </c>
      <c r="I354">
        <v>812</v>
      </c>
      <c r="J354">
        <v>49</v>
      </c>
      <c r="K354">
        <v>239</v>
      </c>
      <c r="L354">
        <v>533</v>
      </c>
      <c r="M354">
        <v>2.0110837438423599</v>
      </c>
      <c r="N354" t="s">
        <v>21</v>
      </c>
      <c r="O354">
        <v>0</v>
      </c>
    </row>
    <row r="355" spans="1:15" x14ac:dyDescent="0.35">
      <c r="A355">
        <v>354</v>
      </c>
      <c r="B355" t="s">
        <v>22</v>
      </c>
      <c r="C355" t="s">
        <v>16</v>
      </c>
      <c r="D355" s="1">
        <v>45589</v>
      </c>
      <c r="E355" t="s">
        <v>27</v>
      </c>
      <c r="F355">
        <v>7</v>
      </c>
      <c r="G355">
        <v>242</v>
      </c>
      <c r="H355">
        <v>4</v>
      </c>
      <c r="I355">
        <v>832</v>
      </c>
      <c r="J355">
        <v>522</v>
      </c>
      <c r="K355">
        <v>138</v>
      </c>
      <c r="L355">
        <v>653</v>
      </c>
      <c r="M355">
        <v>2.578125</v>
      </c>
      <c r="N355" t="s">
        <v>18</v>
      </c>
      <c r="O355">
        <v>0</v>
      </c>
    </row>
    <row r="356" spans="1:15" x14ac:dyDescent="0.35">
      <c r="A356">
        <v>355</v>
      </c>
      <c r="B356" t="s">
        <v>26</v>
      </c>
      <c r="C356" t="s">
        <v>19</v>
      </c>
      <c r="D356" s="1">
        <v>45413</v>
      </c>
      <c r="E356" t="s">
        <v>25</v>
      </c>
      <c r="F356">
        <v>16</v>
      </c>
      <c r="G356">
        <v>182</v>
      </c>
      <c r="H356">
        <v>14</v>
      </c>
      <c r="I356">
        <v>2439</v>
      </c>
      <c r="J356">
        <v>272</v>
      </c>
      <c r="K356">
        <v>324</v>
      </c>
      <c r="L356">
        <v>403</v>
      </c>
      <c r="M356">
        <v>1.4095940959409501</v>
      </c>
      <c r="N356" t="s">
        <v>23</v>
      </c>
      <c r="O356">
        <v>0</v>
      </c>
    </row>
    <row r="357" spans="1:15" x14ac:dyDescent="0.35">
      <c r="A357">
        <v>356</v>
      </c>
      <c r="B357" t="s">
        <v>26</v>
      </c>
      <c r="C357" t="s">
        <v>16</v>
      </c>
      <c r="D357" s="1">
        <v>45431</v>
      </c>
      <c r="E357" t="s">
        <v>20</v>
      </c>
      <c r="F357">
        <v>10</v>
      </c>
      <c r="G357">
        <v>74</v>
      </c>
      <c r="H357">
        <v>5</v>
      </c>
      <c r="I357">
        <v>1963</v>
      </c>
      <c r="J357">
        <v>81</v>
      </c>
      <c r="K357">
        <v>209</v>
      </c>
      <c r="L357">
        <v>140</v>
      </c>
      <c r="M357">
        <v>1.2190524707081001</v>
      </c>
      <c r="N357" t="s">
        <v>23</v>
      </c>
      <c r="O357">
        <v>0</v>
      </c>
    </row>
    <row r="358" spans="1:15" x14ac:dyDescent="0.35">
      <c r="A358">
        <v>357</v>
      </c>
      <c r="B358" t="s">
        <v>26</v>
      </c>
      <c r="C358" t="s">
        <v>24</v>
      </c>
      <c r="D358" s="1">
        <v>45522</v>
      </c>
      <c r="E358" t="s">
        <v>20</v>
      </c>
      <c r="F358">
        <v>12</v>
      </c>
      <c r="G358">
        <v>251</v>
      </c>
      <c r="H358">
        <v>9</v>
      </c>
      <c r="I358">
        <v>3867</v>
      </c>
      <c r="J358">
        <v>326</v>
      </c>
      <c r="K358">
        <v>418</v>
      </c>
      <c r="L358">
        <v>124</v>
      </c>
      <c r="M358">
        <v>1.22446340832686</v>
      </c>
      <c r="N358" t="s">
        <v>23</v>
      </c>
      <c r="O358">
        <v>0</v>
      </c>
    </row>
    <row r="359" spans="1:15" x14ac:dyDescent="0.35">
      <c r="A359">
        <v>358</v>
      </c>
      <c r="B359" t="s">
        <v>26</v>
      </c>
      <c r="C359" t="s">
        <v>24</v>
      </c>
      <c r="D359" s="1">
        <v>45529</v>
      </c>
      <c r="E359" t="s">
        <v>20</v>
      </c>
      <c r="F359">
        <v>7</v>
      </c>
      <c r="G359">
        <v>130</v>
      </c>
      <c r="H359">
        <v>10</v>
      </c>
      <c r="I359">
        <v>2220</v>
      </c>
      <c r="J359">
        <v>127</v>
      </c>
      <c r="K359">
        <v>94</v>
      </c>
      <c r="L359">
        <v>162</v>
      </c>
      <c r="M359">
        <v>1.17252252252252</v>
      </c>
      <c r="N359" t="s">
        <v>23</v>
      </c>
      <c r="O359">
        <v>0</v>
      </c>
    </row>
    <row r="360" spans="1:15" x14ac:dyDescent="0.35">
      <c r="A360">
        <v>359</v>
      </c>
      <c r="B360" t="s">
        <v>22</v>
      </c>
      <c r="C360" t="s">
        <v>19</v>
      </c>
      <c r="D360" s="1">
        <v>45367</v>
      </c>
      <c r="E360" t="s">
        <v>28</v>
      </c>
      <c r="F360">
        <v>7</v>
      </c>
      <c r="G360">
        <v>173</v>
      </c>
      <c r="H360">
        <v>8</v>
      </c>
      <c r="I360">
        <v>797</v>
      </c>
      <c r="J360">
        <v>733</v>
      </c>
      <c r="K360">
        <v>256</v>
      </c>
      <c r="L360">
        <v>365</v>
      </c>
      <c r="M360">
        <v>2.6988707653701298</v>
      </c>
      <c r="N360" t="s">
        <v>18</v>
      </c>
      <c r="O360">
        <v>0</v>
      </c>
    </row>
    <row r="361" spans="1:15" x14ac:dyDescent="0.35">
      <c r="A361">
        <v>360</v>
      </c>
      <c r="B361" t="s">
        <v>26</v>
      </c>
      <c r="C361" t="s">
        <v>19</v>
      </c>
      <c r="D361" s="1">
        <v>45381</v>
      </c>
      <c r="E361" t="s">
        <v>28</v>
      </c>
      <c r="F361">
        <v>13</v>
      </c>
      <c r="G361">
        <v>68</v>
      </c>
      <c r="H361">
        <v>14</v>
      </c>
      <c r="I361">
        <v>304</v>
      </c>
      <c r="J361">
        <v>419</v>
      </c>
      <c r="K361">
        <v>465</v>
      </c>
      <c r="L361">
        <v>570</v>
      </c>
      <c r="M361">
        <v>5.7828947368421</v>
      </c>
      <c r="N361" t="s">
        <v>18</v>
      </c>
      <c r="O361">
        <v>0</v>
      </c>
    </row>
    <row r="362" spans="1:15" x14ac:dyDescent="0.35">
      <c r="A362">
        <v>361</v>
      </c>
      <c r="B362" t="s">
        <v>15</v>
      </c>
      <c r="C362" t="s">
        <v>16</v>
      </c>
      <c r="D362" s="1">
        <v>45344</v>
      </c>
      <c r="E362" t="s">
        <v>27</v>
      </c>
      <c r="F362">
        <v>12</v>
      </c>
      <c r="G362">
        <v>225</v>
      </c>
      <c r="H362">
        <v>11</v>
      </c>
      <c r="I362">
        <v>1195</v>
      </c>
      <c r="J362">
        <v>129</v>
      </c>
      <c r="K362">
        <v>14</v>
      </c>
      <c r="L362">
        <v>64</v>
      </c>
      <c r="M362">
        <v>1.1732217573221699</v>
      </c>
      <c r="N362" t="s">
        <v>23</v>
      </c>
      <c r="O362">
        <v>0</v>
      </c>
    </row>
    <row r="363" spans="1:15" x14ac:dyDescent="0.35">
      <c r="A363">
        <v>362</v>
      </c>
      <c r="B363" t="s">
        <v>15</v>
      </c>
      <c r="C363" t="s">
        <v>16</v>
      </c>
      <c r="D363" s="1">
        <v>45335</v>
      </c>
      <c r="E363" t="s">
        <v>17</v>
      </c>
      <c r="F363">
        <v>12</v>
      </c>
      <c r="G363">
        <v>247</v>
      </c>
      <c r="H363">
        <v>4</v>
      </c>
      <c r="I363">
        <v>4820</v>
      </c>
      <c r="J363">
        <v>605</v>
      </c>
      <c r="K363">
        <v>267</v>
      </c>
      <c r="L363">
        <v>77</v>
      </c>
      <c r="M363">
        <v>1.1968879668049699</v>
      </c>
      <c r="N363" t="s">
        <v>23</v>
      </c>
      <c r="O363">
        <v>0</v>
      </c>
    </row>
    <row r="364" spans="1:15" x14ac:dyDescent="0.35">
      <c r="A364">
        <v>363</v>
      </c>
      <c r="B364" t="s">
        <v>15</v>
      </c>
      <c r="C364" t="s">
        <v>16</v>
      </c>
      <c r="D364" s="1">
        <v>45339</v>
      </c>
      <c r="E364" t="s">
        <v>28</v>
      </c>
      <c r="F364">
        <v>19</v>
      </c>
      <c r="G364">
        <v>222</v>
      </c>
      <c r="H364">
        <v>15</v>
      </c>
      <c r="I364">
        <v>2766</v>
      </c>
      <c r="J364">
        <v>130</v>
      </c>
      <c r="K364">
        <v>45</v>
      </c>
      <c r="L364">
        <v>473</v>
      </c>
      <c r="M364">
        <v>1.2342733188720101</v>
      </c>
      <c r="N364" t="s">
        <v>23</v>
      </c>
      <c r="O364">
        <v>0</v>
      </c>
    </row>
    <row r="365" spans="1:15" x14ac:dyDescent="0.35">
      <c r="A365">
        <v>364</v>
      </c>
      <c r="B365" t="s">
        <v>22</v>
      </c>
      <c r="C365" t="s">
        <v>16</v>
      </c>
      <c r="D365" s="1">
        <v>45307</v>
      </c>
      <c r="E365" t="s">
        <v>17</v>
      </c>
      <c r="F365">
        <v>11</v>
      </c>
      <c r="G365">
        <v>160</v>
      </c>
      <c r="H365">
        <v>8</v>
      </c>
      <c r="I365">
        <v>3185</v>
      </c>
      <c r="J365">
        <v>704</v>
      </c>
      <c r="K365">
        <v>438</v>
      </c>
      <c r="L365">
        <v>177</v>
      </c>
      <c r="M365">
        <v>1.4141287284144399</v>
      </c>
      <c r="N365" t="s">
        <v>23</v>
      </c>
      <c r="O365">
        <v>0</v>
      </c>
    </row>
    <row r="366" spans="1:15" x14ac:dyDescent="0.35">
      <c r="A366">
        <v>365</v>
      </c>
      <c r="B366" t="s">
        <v>22</v>
      </c>
      <c r="C366" t="s">
        <v>24</v>
      </c>
      <c r="D366" s="1">
        <v>45520</v>
      </c>
      <c r="E366" t="s">
        <v>30</v>
      </c>
      <c r="F366">
        <v>19</v>
      </c>
      <c r="G366">
        <v>265</v>
      </c>
      <c r="H366">
        <v>1</v>
      </c>
      <c r="I366">
        <v>1267</v>
      </c>
      <c r="J366">
        <v>40</v>
      </c>
      <c r="K366">
        <v>253</v>
      </c>
      <c r="L366">
        <v>663</v>
      </c>
      <c r="M366">
        <v>1.7545382794001501</v>
      </c>
      <c r="N366" t="s">
        <v>21</v>
      </c>
      <c r="O366">
        <v>0</v>
      </c>
    </row>
    <row r="367" spans="1:15" x14ac:dyDescent="0.35">
      <c r="A367">
        <v>366</v>
      </c>
      <c r="B367" t="s">
        <v>15</v>
      </c>
      <c r="C367" t="s">
        <v>19</v>
      </c>
      <c r="D367" s="1">
        <v>45336</v>
      </c>
      <c r="E367" t="s">
        <v>25</v>
      </c>
      <c r="F367">
        <v>22</v>
      </c>
      <c r="G367">
        <v>147</v>
      </c>
      <c r="H367">
        <v>20</v>
      </c>
      <c r="I367">
        <v>2341</v>
      </c>
      <c r="J367">
        <v>397</v>
      </c>
      <c r="K367">
        <v>142</v>
      </c>
      <c r="L367">
        <v>430</v>
      </c>
      <c r="M367">
        <v>1.4139256727894001</v>
      </c>
      <c r="N367" t="s">
        <v>23</v>
      </c>
      <c r="O367">
        <v>0</v>
      </c>
    </row>
    <row r="368" spans="1:15" x14ac:dyDescent="0.35">
      <c r="A368">
        <v>367</v>
      </c>
      <c r="B368" t="s">
        <v>26</v>
      </c>
      <c r="C368" t="s">
        <v>24</v>
      </c>
      <c r="D368" s="1">
        <v>45570</v>
      </c>
      <c r="E368" t="s">
        <v>28</v>
      </c>
      <c r="F368">
        <v>17</v>
      </c>
      <c r="G368">
        <v>277</v>
      </c>
      <c r="H368">
        <v>10</v>
      </c>
      <c r="I368">
        <v>209</v>
      </c>
      <c r="J368">
        <v>396</v>
      </c>
      <c r="K368">
        <v>369</v>
      </c>
      <c r="L368">
        <v>492</v>
      </c>
      <c r="M368">
        <v>7.0143540669856401</v>
      </c>
      <c r="N368" t="s">
        <v>18</v>
      </c>
      <c r="O368">
        <v>0</v>
      </c>
    </row>
    <row r="369" spans="1:15" x14ac:dyDescent="0.35">
      <c r="A369">
        <v>368</v>
      </c>
      <c r="B369" t="s">
        <v>26</v>
      </c>
      <c r="C369" t="s">
        <v>16</v>
      </c>
      <c r="D369" s="1">
        <v>45490</v>
      </c>
      <c r="E369" t="s">
        <v>25</v>
      </c>
      <c r="F369">
        <v>6</v>
      </c>
      <c r="G369">
        <v>163</v>
      </c>
      <c r="H369">
        <v>1</v>
      </c>
      <c r="I369">
        <v>2265</v>
      </c>
      <c r="J369">
        <v>189</v>
      </c>
      <c r="K369">
        <v>28</v>
      </c>
      <c r="L369">
        <v>327</v>
      </c>
      <c r="M369">
        <v>1.2401766004415</v>
      </c>
      <c r="N369" t="s">
        <v>23</v>
      </c>
      <c r="O369">
        <v>0</v>
      </c>
    </row>
    <row r="370" spans="1:15" x14ac:dyDescent="0.35">
      <c r="A370">
        <v>369</v>
      </c>
      <c r="B370" t="s">
        <v>15</v>
      </c>
      <c r="C370" t="s">
        <v>16</v>
      </c>
      <c r="D370" s="1">
        <v>45533</v>
      </c>
      <c r="E370" t="s">
        <v>27</v>
      </c>
      <c r="F370">
        <v>13</v>
      </c>
      <c r="G370">
        <v>143</v>
      </c>
      <c r="H370">
        <v>8</v>
      </c>
      <c r="I370">
        <v>4387</v>
      </c>
      <c r="J370">
        <v>371</v>
      </c>
      <c r="K370">
        <v>600</v>
      </c>
      <c r="L370">
        <v>239</v>
      </c>
      <c r="M370">
        <v>1.27581490768178</v>
      </c>
      <c r="N370" t="s">
        <v>23</v>
      </c>
      <c r="O370">
        <v>0</v>
      </c>
    </row>
    <row r="371" spans="1:15" x14ac:dyDescent="0.35">
      <c r="A371">
        <v>370</v>
      </c>
      <c r="B371" t="s">
        <v>22</v>
      </c>
      <c r="C371" t="s">
        <v>24</v>
      </c>
      <c r="D371" s="1">
        <v>45565</v>
      </c>
      <c r="E371" t="s">
        <v>29</v>
      </c>
      <c r="F371">
        <v>11</v>
      </c>
      <c r="G371">
        <v>110</v>
      </c>
      <c r="H371">
        <v>7</v>
      </c>
      <c r="I371">
        <v>508</v>
      </c>
      <c r="J371">
        <v>787</v>
      </c>
      <c r="K371">
        <v>226</v>
      </c>
      <c r="L371">
        <v>590</v>
      </c>
      <c r="M371">
        <v>4.1555118110236204</v>
      </c>
      <c r="N371" t="s">
        <v>18</v>
      </c>
      <c r="O371">
        <v>0</v>
      </c>
    </row>
    <row r="372" spans="1:15" x14ac:dyDescent="0.35">
      <c r="A372">
        <v>371</v>
      </c>
      <c r="B372" t="s">
        <v>26</v>
      </c>
      <c r="C372" t="s">
        <v>19</v>
      </c>
      <c r="D372" s="1">
        <v>45454</v>
      </c>
      <c r="E372" t="s">
        <v>17</v>
      </c>
      <c r="F372">
        <v>10</v>
      </c>
      <c r="G372">
        <v>116</v>
      </c>
      <c r="H372">
        <v>15</v>
      </c>
      <c r="I372">
        <v>2989</v>
      </c>
      <c r="J372">
        <v>610</v>
      </c>
      <c r="K372">
        <v>30</v>
      </c>
      <c r="L372">
        <v>361</v>
      </c>
      <c r="M372">
        <v>1.3348946135831301</v>
      </c>
      <c r="N372" t="s">
        <v>23</v>
      </c>
      <c r="O372">
        <v>0</v>
      </c>
    </row>
    <row r="373" spans="1:15" x14ac:dyDescent="0.35">
      <c r="A373">
        <v>372</v>
      </c>
      <c r="B373" t="s">
        <v>15</v>
      </c>
      <c r="C373" t="s">
        <v>16</v>
      </c>
      <c r="D373" s="1">
        <v>45569</v>
      </c>
      <c r="E373" t="s">
        <v>30</v>
      </c>
      <c r="F373">
        <v>13</v>
      </c>
      <c r="G373">
        <v>132</v>
      </c>
      <c r="H373">
        <v>0</v>
      </c>
      <c r="I373">
        <v>2581</v>
      </c>
      <c r="J373">
        <v>184</v>
      </c>
      <c r="K373">
        <v>504</v>
      </c>
      <c r="L373">
        <v>39</v>
      </c>
      <c r="M373">
        <v>1.2816737698566401</v>
      </c>
      <c r="N373" t="s">
        <v>23</v>
      </c>
      <c r="O373">
        <v>0</v>
      </c>
    </row>
    <row r="374" spans="1:15" x14ac:dyDescent="0.35">
      <c r="A374">
        <v>373</v>
      </c>
      <c r="B374" t="s">
        <v>15</v>
      </c>
      <c r="C374" t="s">
        <v>16</v>
      </c>
      <c r="D374" s="1">
        <v>45561</v>
      </c>
      <c r="E374" t="s">
        <v>27</v>
      </c>
      <c r="F374">
        <v>16</v>
      </c>
      <c r="G374">
        <v>110</v>
      </c>
      <c r="H374">
        <v>10</v>
      </c>
      <c r="I374">
        <v>3965</v>
      </c>
      <c r="J374">
        <v>5</v>
      </c>
      <c r="K374">
        <v>341</v>
      </c>
      <c r="L374">
        <v>629</v>
      </c>
      <c r="M374">
        <v>1.2459016393442599</v>
      </c>
      <c r="N374" t="s">
        <v>23</v>
      </c>
      <c r="O374">
        <v>0</v>
      </c>
    </row>
    <row r="375" spans="1:15" x14ac:dyDescent="0.35">
      <c r="A375">
        <v>374</v>
      </c>
      <c r="B375" t="s">
        <v>26</v>
      </c>
      <c r="C375" t="s">
        <v>24</v>
      </c>
      <c r="D375" s="1">
        <v>45322</v>
      </c>
      <c r="E375" t="s">
        <v>25</v>
      </c>
      <c r="F375">
        <v>8</v>
      </c>
      <c r="G375">
        <v>211</v>
      </c>
      <c r="H375">
        <v>12</v>
      </c>
      <c r="I375">
        <v>229</v>
      </c>
      <c r="J375">
        <v>156</v>
      </c>
      <c r="K375">
        <v>147</v>
      </c>
      <c r="L375">
        <v>114</v>
      </c>
      <c r="M375">
        <v>2.8209606986899498</v>
      </c>
      <c r="N375" t="s">
        <v>18</v>
      </c>
      <c r="O375">
        <v>0</v>
      </c>
    </row>
    <row r="376" spans="1:15" x14ac:dyDescent="0.35">
      <c r="A376">
        <v>375</v>
      </c>
      <c r="B376" t="s">
        <v>15</v>
      </c>
      <c r="C376" t="s">
        <v>16</v>
      </c>
      <c r="D376" s="1">
        <v>45592</v>
      </c>
      <c r="E376" t="s">
        <v>20</v>
      </c>
      <c r="F376">
        <v>19</v>
      </c>
      <c r="G376">
        <v>269</v>
      </c>
      <c r="H376">
        <v>20</v>
      </c>
      <c r="I376">
        <v>877</v>
      </c>
      <c r="J376">
        <v>349</v>
      </c>
      <c r="K376">
        <v>311</v>
      </c>
      <c r="L376">
        <v>331</v>
      </c>
      <c r="M376">
        <v>2.1299885974914399</v>
      </c>
      <c r="N376" t="s">
        <v>21</v>
      </c>
      <c r="O376">
        <v>0</v>
      </c>
    </row>
    <row r="377" spans="1:15" x14ac:dyDescent="0.35">
      <c r="A377">
        <v>376</v>
      </c>
      <c r="B377" t="s">
        <v>22</v>
      </c>
      <c r="C377" t="s">
        <v>16</v>
      </c>
      <c r="D377" s="1">
        <v>45454</v>
      </c>
      <c r="E377" t="s">
        <v>17</v>
      </c>
      <c r="F377">
        <v>11</v>
      </c>
      <c r="G377">
        <v>213</v>
      </c>
      <c r="H377">
        <v>9</v>
      </c>
      <c r="I377">
        <v>1477</v>
      </c>
      <c r="J377">
        <v>729</v>
      </c>
      <c r="K377">
        <v>577</v>
      </c>
      <c r="L377">
        <v>629</v>
      </c>
      <c r="M377">
        <v>2.3100880162491499</v>
      </c>
      <c r="N377" t="s">
        <v>21</v>
      </c>
      <c r="O377">
        <v>1</v>
      </c>
    </row>
    <row r="378" spans="1:15" x14ac:dyDescent="0.35">
      <c r="A378">
        <v>377</v>
      </c>
      <c r="B378" t="s">
        <v>22</v>
      </c>
      <c r="C378" t="s">
        <v>19</v>
      </c>
      <c r="D378" s="1">
        <v>45442</v>
      </c>
      <c r="E378" t="s">
        <v>27</v>
      </c>
      <c r="F378">
        <v>7</v>
      </c>
      <c r="G378">
        <v>113</v>
      </c>
      <c r="H378">
        <v>19</v>
      </c>
      <c r="I378">
        <v>1093</v>
      </c>
      <c r="J378">
        <v>186</v>
      </c>
      <c r="K378">
        <v>3</v>
      </c>
      <c r="L378">
        <v>587</v>
      </c>
      <c r="M378">
        <v>1.7099725526075</v>
      </c>
      <c r="N378" t="s">
        <v>21</v>
      </c>
      <c r="O378">
        <v>0</v>
      </c>
    </row>
    <row r="379" spans="1:15" x14ac:dyDescent="0.35">
      <c r="A379">
        <v>378</v>
      </c>
      <c r="B379" t="s">
        <v>22</v>
      </c>
      <c r="C379" t="s">
        <v>16</v>
      </c>
      <c r="D379" s="1">
        <v>45454</v>
      </c>
      <c r="E379" t="s">
        <v>17</v>
      </c>
      <c r="F379">
        <v>16</v>
      </c>
      <c r="G379">
        <v>59</v>
      </c>
      <c r="H379">
        <v>7</v>
      </c>
      <c r="I379">
        <v>1859</v>
      </c>
      <c r="J379">
        <v>659</v>
      </c>
      <c r="K379">
        <v>581</v>
      </c>
      <c r="L379">
        <v>107</v>
      </c>
      <c r="M379">
        <v>1.72458310919849</v>
      </c>
      <c r="N379" t="s">
        <v>21</v>
      </c>
      <c r="O379">
        <v>0</v>
      </c>
    </row>
    <row r="380" spans="1:15" x14ac:dyDescent="0.35">
      <c r="A380">
        <v>379</v>
      </c>
      <c r="B380" t="s">
        <v>26</v>
      </c>
      <c r="C380" t="s">
        <v>19</v>
      </c>
      <c r="D380" s="1">
        <v>45469</v>
      </c>
      <c r="E380" t="s">
        <v>25</v>
      </c>
      <c r="F380">
        <v>16</v>
      </c>
      <c r="G380">
        <v>248</v>
      </c>
      <c r="H380">
        <v>0</v>
      </c>
      <c r="I380">
        <v>2667</v>
      </c>
      <c r="J380">
        <v>176</v>
      </c>
      <c r="K380">
        <v>92</v>
      </c>
      <c r="L380">
        <v>687</v>
      </c>
      <c r="M380">
        <v>1.35808023997</v>
      </c>
      <c r="N380" t="s">
        <v>23</v>
      </c>
      <c r="O380">
        <v>0</v>
      </c>
    </row>
    <row r="381" spans="1:15" x14ac:dyDescent="0.35">
      <c r="A381">
        <v>380</v>
      </c>
      <c r="B381" t="s">
        <v>22</v>
      </c>
      <c r="C381" t="s">
        <v>16</v>
      </c>
      <c r="D381" s="1">
        <v>45427</v>
      </c>
      <c r="E381" t="s">
        <v>25</v>
      </c>
      <c r="F381">
        <v>6</v>
      </c>
      <c r="G381">
        <v>44</v>
      </c>
      <c r="H381">
        <v>12</v>
      </c>
      <c r="I381">
        <v>1767</v>
      </c>
      <c r="J381">
        <v>260</v>
      </c>
      <c r="K381">
        <v>71</v>
      </c>
      <c r="L381">
        <v>359</v>
      </c>
      <c r="M381">
        <v>1.39049235993208</v>
      </c>
      <c r="N381" t="s">
        <v>23</v>
      </c>
      <c r="O381">
        <v>0</v>
      </c>
    </row>
    <row r="382" spans="1:15" x14ac:dyDescent="0.35">
      <c r="A382">
        <v>381</v>
      </c>
      <c r="B382" t="s">
        <v>22</v>
      </c>
      <c r="C382" t="s">
        <v>24</v>
      </c>
      <c r="D382" s="1">
        <v>45516</v>
      </c>
      <c r="E382" t="s">
        <v>29</v>
      </c>
      <c r="F382">
        <v>23</v>
      </c>
      <c r="G382">
        <v>212</v>
      </c>
      <c r="H382">
        <v>3</v>
      </c>
      <c r="I382">
        <v>3487</v>
      </c>
      <c r="J382">
        <v>175</v>
      </c>
      <c r="K382">
        <v>425</v>
      </c>
      <c r="L382">
        <v>505</v>
      </c>
      <c r="M382">
        <v>1.31689131058216</v>
      </c>
      <c r="N382" t="s">
        <v>23</v>
      </c>
      <c r="O382">
        <v>0</v>
      </c>
    </row>
    <row r="383" spans="1:15" x14ac:dyDescent="0.35">
      <c r="A383">
        <v>382</v>
      </c>
      <c r="B383" t="s">
        <v>22</v>
      </c>
      <c r="C383" t="s">
        <v>16</v>
      </c>
      <c r="D383" s="1">
        <v>45537</v>
      </c>
      <c r="E383" t="s">
        <v>29</v>
      </c>
      <c r="F383">
        <v>7</v>
      </c>
      <c r="G383">
        <v>170</v>
      </c>
      <c r="H383">
        <v>0</v>
      </c>
      <c r="I383">
        <v>4785</v>
      </c>
      <c r="J383">
        <v>671</v>
      </c>
      <c r="K383">
        <v>232</v>
      </c>
      <c r="L383">
        <v>167</v>
      </c>
      <c r="M383">
        <v>1.2236154649947699</v>
      </c>
      <c r="N383" t="s">
        <v>23</v>
      </c>
      <c r="O383">
        <v>0</v>
      </c>
    </row>
    <row r="384" spans="1:15" x14ac:dyDescent="0.35">
      <c r="A384">
        <v>383</v>
      </c>
      <c r="B384" t="s">
        <v>15</v>
      </c>
      <c r="C384" t="s">
        <v>24</v>
      </c>
      <c r="D384" s="1">
        <v>45455</v>
      </c>
      <c r="E384" t="s">
        <v>25</v>
      </c>
      <c r="F384">
        <v>11</v>
      </c>
      <c r="G384">
        <v>58</v>
      </c>
      <c r="H384">
        <v>17</v>
      </c>
      <c r="I384">
        <v>2189</v>
      </c>
      <c r="J384">
        <v>112</v>
      </c>
      <c r="K384">
        <v>77</v>
      </c>
      <c r="L384">
        <v>351</v>
      </c>
      <c r="M384">
        <v>1.2466879853814501</v>
      </c>
      <c r="N384" t="s">
        <v>23</v>
      </c>
      <c r="O384">
        <v>0</v>
      </c>
    </row>
    <row r="385" spans="1:15" x14ac:dyDescent="0.35">
      <c r="A385">
        <v>384</v>
      </c>
      <c r="B385" t="s">
        <v>22</v>
      </c>
      <c r="C385" t="s">
        <v>19</v>
      </c>
      <c r="D385" s="1">
        <v>45339</v>
      </c>
      <c r="E385" t="s">
        <v>28</v>
      </c>
      <c r="F385">
        <v>11</v>
      </c>
      <c r="G385">
        <v>242</v>
      </c>
      <c r="H385">
        <v>5</v>
      </c>
      <c r="I385">
        <v>2818</v>
      </c>
      <c r="J385">
        <v>613</v>
      </c>
      <c r="K385">
        <v>496</v>
      </c>
      <c r="L385">
        <v>32</v>
      </c>
      <c r="M385">
        <v>1.4048970901348401</v>
      </c>
      <c r="N385" t="s">
        <v>23</v>
      </c>
      <c r="O385">
        <v>0</v>
      </c>
    </row>
    <row r="386" spans="1:15" x14ac:dyDescent="0.35">
      <c r="A386">
        <v>385</v>
      </c>
      <c r="B386" t="s">
        <v>22</v>
      </c>
      <c r="C386" t="s">
        <v>19</v>
      </c>
      <c r="D386" s="1">
        <v>45319</v>
      </c>
      <c r="E386" t="s">
        <v>20</v>
      </c>
      <c r="F386">
        <v>23</v>
      </c>
      <c r="G386">
        <v>296</v>
      </c>
      <c r="H386">
        <v>8</v>
      </c>
      <c r="I386">
        <v>879</v>
      </c>
      <c r="J386">
        <v>344</v>
      </c>
      <c r="K386">
        <v>212</v>
      </c>
      <c r="L386">
        <v>195</v>
      </c>
      <c r="M386">
        <v>1.8543799772468701</v>
      </c>
      <c r="N386" t="s">
        <v>21</v>
      </c>
      <c r="O386">
        <v>0</v>
      </c>
    </row>
    <row r="387" spans="1:15" x14ac:dyDescent="0.35">
      <c r="A387">
        <v>386</v>
      </c>
      <c r="B387" t="s">
        <v>22</v>
      </c>
      <c r="C387" t="s">
        <v>19</v>
      </c>
      <c r="D387" s="1">
        <v>45436</v>
      </c>
      <c r="E387" t="s">
        <v>30</v>
      </c>
      <c r="F387">
        <v>23</v>
      </c>
      <c r="G387">
        <v>271</v>
      </c>
      <c r="H387">
        <v>4</v>
      </c>
      <c r="I387">
        <v>2486</v>
      </c>
      <c r="J387">
        <v>248</v>
      </c>
      <c r="K387">
        <v>100</v>
      </c>
      <c r="L387">
        <v>51</v>
      </c>
      <c r="M387">
        <v>1.16049879324215</v>
      </c>
      <c r="N387" t="s">
        <v>23</v>
      </c>
      <c r="O387">
        <v>0</v>
      </c>
    </row>
    <row r="388" spans="1:15" x14ac:dyDescent="0.35">
      <c r="A388">
        <v>387</v>
      </c>
      <c r="B388" t="s">
        <v>22</v>
      </c>
      <c r="C388" t="s">
        <v>19</v>
      </c>
      <c r="D388" s="1">
        <v>45319</v>
      </c>
      <c r="E388" t="s">
        <v>20</v>
      </c>
      <c r="F388">
        <v>21</v>
      </c>
      <c r="G388">
        <v>122</v>
      </c>
      <c r="H388">
        <v>3</v>
      </c>
      <c r="I388">
        <v>3005</v>
      </c>
      <c r="J388">
        <v>8</v>
      </c>
      <c r="K388">
        <v>439</v>
      </c>
      <c r="L388">
        <v>90</v>
      </c>
      <c r="M388">
        <v>1.1787021630615599</v>
      </c>
      <c r="N388" t="s">
        <v>23</v>
      </c>
      <c r="O388">
        <v>0</v>
      </c>
    </row>
    <row r="389" spans="1:15" x14ac:dyDescent="0.35">
      <c r="A389">
        <v>388</v>
      </c>
      <c r="B389" t="s">
        <v>22</v>
      </c>
      <c r="C389" t="s">
        <v>16</v>
      </c>
      <c r="D389" s="1">
        <v>45305</v>
      </c>
      <c r="E389" t="s">
        <v>20</v>
      </c>
      <c r="F389">
        <v>15</v>
      </c>
      <c r="G389">
        <v>223</v>
      </c>
      <c r="H389">
        <v>15</v>
      </c>
      <c r="I389">
        <v>1745</v>
      </c>
      <c r="J389">
        <v>179</v>
      </c>
      <c r="K389">
        <v>300</v>
      </c>
      <c r="L389">
        <v>84</v>
      </c>
      <c r="M389">
        <v>1.3226361031518601</v>
      </c>
      <c r="N389" t="s">
        <v>23</v>
      </c>
      <c r="O389">
        <v>0</v>
      </c>
    </row>
    <row r="390" spans="1:15" x14ac:dyDescent="0.35">
      <c r="A390">
        <v>389</v>
      </c>
      <c r="B390" t="s">
        <v>15</v>
      </c>
      <c r="C390" t="s">
        <v>24</v>
      </c>
      <c r="D390" s="1">
        <v>45542</v>
      </c>
      <c r="E390" t="s">
        <v>28</v>
      </c>
      <c r="F390">
        <v>18</v>
      </c>
      <c r="G390">
        <v>209</v>
      </c>
      <c r="H390">
        <v>5</v>
      </c>
      <c r="I390">
        <v>2220</v>
      </c>
      <c r="J390">
        <v>98</v>
      </c>
      <c r="K390">
        <v>559</v>
      </c>
      <c r="L390">
        <v>397</v>
      </c>
      <c r="M390">
        <v>1.4747747747747699</v>
      </c>
      <c r="N390" t="s">
        <v>23</v>
      </c>
      <c r="O390">
        <v>0</v>
      </c>
    </row>
    <row r="391" spans="1:15" x14ac:dyDescent="0.35">
      <c r="A391">
        <v>390</v>
      </c>
      <c r="B391" t="s">
        <v>22</v>
      </c>
      <c r="C391" t="s">
        <v>16</v>
      </c>
      <c r="D391" s="1">
        <v>45520</v>
      </c>
      <c r="E391" t="s">
        <v>30</v>
      </c>
      <c r="F391">
        <v>14</v>
      </c>
      <c r="G391">
        <v>51</v>
      </c>
      <c r="H391">
        <v>4</v>
      </c>
      <c r="I391">
        <v>415</v>
      </c>
      <c r="J391">
        <v>274</v>
      </c>
      <c r="K391">
        <v>452</v>
      </c>
      <c r="L391">
        <v>477</v>
      </c>
      <c r="M391">
        <v>3.8987951807228902</v>
      </c>
      <c r="N391" t="s">
        <v>18</v>
      </c>
      <c r="O391">
        <v>0</v>
      </c>
    </row>
    <row r="392" spans="1:15" x14ac:dyDescent="0.35">
      <c r="A392">
        <v>391</v>
      </c>
      <c r="B392" t="s">
        <v>22</v>
      </c>
      <c r="C392" t="s">
        <v>19</v>
      </c>
      <c r="D392" s="1">
        <v>45341</v>
      </c>
      <c r="E392" t="s">
        <v>29</v>
      </c>
      <c r="F392">
        <v>13</v>
      </c>
      <c r="G392">
        <v>51</v>
      </c>
      <c r="H392">
        <v>12</v>
      </c>
      <c r="I392">
        <v>752</v>
      </c>
      <c r="J392">
        <v>689</v>
      </c>
      <c r="K392">
        <v>354</v>
      </c>
      <c r="L392">
        <v>555</v>
      </c>
      <c r="M392">
        <v>3.125</v>
      </c>
      <c r="N392" t="s">
        <v>18</v>
      </c>
      <c r="O392">
        <v>0</v>
      </c>
    </row>
    <row r="393" spans="1:15" x14ac:dyDescent="0.35">
      <c r="A393">
        <v>392</v>
      </c>
      <c r="B393" t="s">
        <v>15</v>
      </c>
      <c r="C393" t="s">
        <v>24</v>
      </c>
      <c r="D393" s="1">
        <v>45559</v>
      </c>
      <c r="E393" t="s">
        <v>17</v>
      </c>
      <c r="F393">
        <v>15</v>
      </c>
      <c r="G393">
        <v>60</v>
      </c>
      <c r="H393">
        <v>12</v>
      </c>
      <c r="I393">
        <v>3479</v>
      </c>
      <c r="J393">
        <v>553</v>
      </c>
      <c r="K393">
        <v>488</v>
      </c>
      <c r="L393">
        <v>587</v>
      </c>
      <c r="M393">
        <v>1.46795056050589</v>
      </c>
      <c r="N393" t="s">
        <v>23</v>
      </c>
      <c r="O393">
        <v>0</v>
      </c>
    </row>
    <row r="394" spans="1:15" x14ac:dyDescent="0.35">
      <c r="A394">
        <v>393</v>
      </c>
      <c r="B394" t="s">
        <v>26</v>
      </c>
      <c r="C394" t="s">
        <v>19</v>
      </c>
      <c r="D394" s="1">
        <v>45309</v>
      </c>
      <c r="E394" t="s">
        <v>27</v>
      </c>
      <c r="F394">
        <v>10</v>
      </c>
      <c r="G394">
        <v>81</v>
      </c>
      <c r="H394">
        <v>14</v>
      </c>
      <c r="I394">
        <v>4163</v>
      </c>
      <c r="J394">
        <v>589</v>
      </c>
      <c r="K394">
        <v>531</v>
      </c>
      <c r="L394">
        <v>586</v>
      </c>
      <c r="M394">
        <v>1.4098006245496</v>
      </c>
      <c r="N394" t="s">
        <v>23</v>
      </c>
      <c r="O394">
        <v>0</v>
      </c>
    </row>
    <row r="395" spans="1:15" x14ac:dyDescent="0.35">
      <c r="A395">
        <v>394</v>
      </c>
      <c r="B395" t="s">
        <v>15</v>
      </c>
      <c r="C395" t="s">
        <v>24</v>
      </c>
      <c r="D395" s="1">
        <v>45380</v>
      </c>
      <c r="E395" t="s">
        <v>30</v>
      </c>
      <c r="F395">
        <v>8</v>
      </c>
      <c r="G395">
        <v>242</v>
      </c>
      <c r="H395">
        <v>6</v>
      </c>
      <c r="I395">
        <v>1419</v>
      </c>
      <c r="J395">
        <v>221</v>
      </c>
      <c r="K395">
        <v>199</v>
      </c>
      <c r="L395">
        <v>130</v>
      </c>
      <c r="M395">
        <v>1.3875968992248</v>
      </c>
      <c r="N395" t="s">
        <v>23</v>
      </c>
      <c r="O395">
        <v>0</v>
      </c>
    </row>
    <row r="396" spans="1:15" x14ac:dyDescent="0.35">
      <c r="A396">
        <v>395</v>
      </c>
      <c r="B396" t="s">
        <v>15</v>
      </c>
      <c r="C396" t="s">
        <v>24</v>
      </c>
      <c r="D396" s="1">
        <v>45367</v>
      </c>
      <c r="E396" t="s">
        <v>28</v>
      </c>
      <c r="F396">
        <v>23</v>
      </c>
      <c r="G396">
        <v>223</v>
      </c>
      <c r="H396">
        <v>17</v>
      </c>
      <c r="I396">
        <v>4924</v>
      </c>
      <c r="J396">
        <v>269</v>
      </c>
      <c r="K396">
        <v>329</v>
      </c>
      <c r="L396">
        <v>69</v>
      </c>
      <c r="M396">
        <v>1.1354589764419101</v>
      </c>
      <c r="N396" t="s">
        <v>23</v>
      </c>
      <c r="O396">
        <v>0</v>
      </c>
    </row>
    <row r="397" spans="1:15" x14ac:dyDescent="0.35">
      <c r="A397">
        <v>396</v>
      </c>
      <c r="B397" t="s">
        <v>26</v>
      </c>
      <c r="C397" t="s">
        <v>19</v>
      </c>
      <c r="D397" s="1">
        <v>45458</v>
      </c>
      <c r="E397" t="s">
        <v>28</v>
      </c>
      <c r="F397">
        <v>22</v>
      </c>
      <c r="G397">
        <v>234</v>
      </c>
      <c r="H397">
        <v>3</v>
      </c>
      <c r="I397">
        <v>2312</v>
      </c>
      <c r="J397">
        <v>537</v>
      </c>
      <c r="K397">
        <v>471</v>
      </c>
      <c r="L397">
        <v>13</v>
      </c>
      <c r="M397">
        <v>1.44160899653979</v>
      </c>
      <c r="N397" t="s">
        <v>23</v>
      </c>
      <c r="O397">
        <v>0</v>
      </c>
    </row>
    <row r="398" spans="1:15" x14ac:dyDescent="0.35">
      <c r="A398">
        <v>397</v>
      </c>
      <c r="B398" t="s">
        <v>26</v>
      </c>
      <c r="C398" t="s">
        <v>16</v>
      </c>
      <c r="D398" s="1">
        <v>45504</v>
      </c>
      <c r="E398" t="s">
        <v>25</v>
      </c>
      <c r="F398">
        <v>9</v>
      </c>
      <c r="G398">
        <v>71</v>
      </c>
      <c r="H398">
        <v>9</v>
      </c>
      <c r="I398">
        <v>1275</v>
      </c>
      <c r="J398">
        <v>156</v>
      </c>
      <c r="K398">
        <v>582</v>
      </c>
      <c r="L398">
        <v>603</v>
      </c>
      <c r="M398">
        <v>2.0517647058823498</v>
      </c>
      <c r="N398" t="s">
        <v>21</v>
      </c>
      <c r="O398">
        <v>1</v>
      </c>
    </row>
    <row r="399" spans="1:15" x14ac:dyDescent="0.35">
      <c r="A399">
        <v>398</v>
      </c>
      <c r="B399" t="s">
        <v>26</v>
      </c>
      <c r="C399" t="s">
        <v>24</v>
      </c>
      <c r="D399" s="1">
        <v>45566</v>
      </c>
      <c r="E399" t="s">
        <v>17</v>
      </c>
      <c r="F399">
        <v>21</v>
      </c>
      <c r="G399">
        <v>39</v>
      </c>
      <c r="H399">
        <v>5</v>
      </c>
      <c r="I399">
        <v>2866</v>
      </c>
      <c r="J399">
        <v>425</v>
      </c>
      <c r="K399">
        <v>272</v>
      </c>
      <c r="L399">
        <v>393</v>
      </c>
      <c r="M399">
        <v>1.38032100488485</v>
      </c>
      <c r="N399" t="s">
        <v>23</v>
      </c>
      <c r="O399">
        <v>0</v>
      </c>
    </row>
    <row r="400" spans="1:15" x14ac:dyDescent="0.35">
      <c r="A400">
        <v>399</v>
      </c>
      <c r="B400" t="s">
        <v>22</v>
      </c>
      <c r="C400" t="s">
        <v>24</v>
      </c>
      <c r="D400" s="1">
        <v>45433</v>
      </c>
      <c r="E400" t="s">
        <v>17</v>
      </c>
      <c r="F400">
        <v>13</v>
      </c>
      <c r="G400">
        <v>45</v>
      </c>
      <c r="H400">
        <v>15</v>
      </c>
      <c r="I400">
        <v>3351</v>
      </c>
      <c r="J400">
        <v>152</v>
      </c>
      <c r="K400">
        <v>413</v>
      </c>
      <c r="L400">
        <v>40</v>
      </c>
      <c r="M400">
        <v>1.18054312145628</v>
      </c>
      <c r="N400" t="s">
        <v>23</v>
      </c>
      <c r="O400">
        <v>0</v>
      </c>
    </row>
    <row r="401" spans="1:15" x14ac:dyDescent="0.35">
      <c r="A401">
        <v>400</v>
      </c>
      <c r="B401" t="s">
        <v>22</v>
      </c>
      <c r="C401" t="s">
        <v>24</v>
      </c>
      <c r="D401" s="1">
        <v>45429</v>
      </c>
      <c r="E401" t="s">
        <v>30</v>
      </c>
      <c r="F401">
        <v>21</v>
      </c>
      <c r="G401">
        <v>70</v>
      </c>
      <c r="H401">
        <v>7</v>
      </c>
      <c r="I401">
        <v>3101</v>
      </c>
      <c r="J401">
        <v>25</v>
      </c>
      <c r="K401">
        <v>347</v>
      </c>
      <c r="L401">
        <v>311</v>
      </c>
      <c r="M401">
        <v>1.22025153176394</v>
      </c>
      <c r="N401" t="s">
        <v>23</v>
      </c>
      <c r="O401">
        <v>0</v>
      </c>
    </row>
    <row r="402" spans="1:15" x14ac:dyDescent="0.35">
      <c r="A402">
        <v>401</v>
      </c>
      <c r="B402" t="s">
        <v>22</v>
      </c>
      <c r="C402" t="s">
        <v>19</v>
      </c>
      <c r="D402" s="1">
        <v>45360</v>
      </c>
      <c r="E402" t="s">
        <v>28</v>
      </c>
      <c r="F402">
        <v>19</v>
      </c>
      <c r="G402">
        <v>65</v>
      </c>
      <c r="H402">
        <v>6</v>
      </c>
      <c r="I402">
        <v>2511</v>
      </c>
      <c r="J402">
        <v>766</v>
      </c>
      <c r="K402">
        <v>455</v>
      </c>
      <c r="L402">
        <v>329</v>
      </c>
      <c r="M402">
        <v>1.61728395061728</v>
      </c>
      <c r="N402" t="s">
        <v>21</v>
      </c>
      <c r="O402">
        <v>0</v>
      </c>
    </row>
    <row r="403" spans="1:15" x14ac:dyDescent="0.35">
      <c r="A403">
        <v>402</v>
      </c>
      <c r="B403" t="s">
        <v>22</v>
      </c>
      <c r="C403" t="s">
        <v>16</v>
      </c>
      <c r="D403" s="1">
        <v>45518</v>
      </c>
      <c r="E403" t="s">
        <v>25</v>
      </c>
      <c r="F403">
        <v>22</v>
      </c>
      <c r="G403">
        <v>101</v>
      </c>
      <c r="H403">
        <v>2</v>
      </c>
      <c r="I403">
        <v>1781</v>
      </c>
      <c r="J403">
        <v>421</v>
      </c>
      <c r="K403">
        <v>498</v>
      </c>
      <c r="L403">
        <v>529</v>
      </c>
      <c r="M403">
        <v>1.81302638966872</v>
      </c>
      <c r="N403" t="s">
        <v>21</v>
      </c>
      <c r="O403">
        <v>0</v>
      </c>
    </row>
    <row r="404" spans="1:15" x14ac:dyDescent="0.35">
      <c r="A404">
        <v>403</v>
      </c>
      <c r="B404" t="s">
        <v>26</v>
      </c>
      <c r="C404" t="s">
        <v>16</v>
      </c>
      <c r="D404" s="1">
        <v>45451</v>
      </c>
      <c r="E404" t="s">
        <v>28</v>
      </c>
      <c r="F404">
        <v>11</v>
      </c>
      <c r="G404">
        <v>118</v>
      </c>
      <c r="H404">
        <v>6</v>
      </c>
      <c r="I404">
        <v>4201</v>
      </c>
      <c r="J404">
        <v>418</v>
      </c>
      <c r="K404">
        <v>140</v>
      </c>
      <c r="L404">
        <v>537</v>
      </c>
      <c r="M404">
        <v>1.2606522256605499</v>
      </c>
      <c r="N404" t="s">
        <v>23</v>
      </c>
      <c r="O404">
        <v>0</v>
      </c>
    </row>
    <row r="405" spans="1:15" x14ac:dyDescent="0.35">
      <c r="A405">
        <v>404</v>
      </c>
      <c r="B405" t="s">
        <v>22</v>
      </c>
      <c r="C405" t="s">
        <v>19</v>
      </c>
      <c r="D405" s="1">
        <v>45321</v>
      </c>
      <c r="E405" t="s">
        <v>17</v>
      </c>
      <c r="F405">
        <v>12</v>
      </c>
      <c r="G405">
        <v>160</v>
      </c>
      <c r="H405">
        <v>11</v>
      </c>
      <c r="I405">
        <v>2093</v>
      </c>
      <c r="J405">
        <v>38</v>
      </c>
      <c r="K405">
        <v>469</v>
      </c>
      <c r="L405">
        <v>52</v>
      </c>
      <c r="M405">
        <v>1.26708074534161</v>
      </c>
      <c r="N405" t="s">
        <v>23</v>
      </c>
      <c r="O405">
        <v>0</v>
      </c>
    </row>
    <row r="406" spans="1:15" x14ac:dyDescent="0.35">
      <c r="A406">
        <v>405</v>
      </c>
      <c r="B406" t="s">
        <v>15</v>
      </c>
      <c r="C406" t="s">
        <v>16</v>
      </c>
      <c r="D406" s="1">
        <v>45529</v>
      </c>
      <c r="E406" t="s">
        <v>20</v>
      </c>
      <c r="F406">
        <v>17</v>
      </c>
      <c r="G406">
        <v>270</v>
      </c>
      <c r="H406">
        <v>19</v>
      </c>
      <c r="I406">
        <v>4187</v>
      </c>
      <c r="J406">
        <v>411</v>
      </c>
      <c r="K406">
        <v>128</v>
      </c>
      <c r="L406">
        <v>698</v>
      </c>
      <c r="M406">
        <v>1.29543826128492</v>
      </c>
      <c r="N406" t="s">
        <v>23</v>
      </c>
      <c r="O406">
        <v>0</v>
      </c>
    </row>
    <row r="407" spans="1:15" x14ac:dyDescent="0.35">
      <c r="A407">
        <v>406</v>
      </c>
      <c r="B407" t="s">
        <v>22</v>
      </c>
      <c r="C407" t="s">
        <v>16</v>
      </c>
      <c r="D407" s="1">
        <v>45520</v>
      </c>
      <c r="E407" t="s">
        <v>30</v>
      </c>
      <c r="F407">
        <v>14</v>
      </c>
      <c r="G407">
        <v>66</v>
      </c>
      <c r="H407">
        <v>9</v>
      </c>
      <c r="I407">
        <v>1504</v>
      </c>
      <c r="J407">
        <v>490</v>
      </c>
      <c r="K407">
        <v>566</v>
      </c>
      <c r="L407">
        <v>359</v>
      </c>
      <c r="M407">
        <v>1.9408244680850999</v>
      </c>
      <c r="N407" t="s">
        <v>21</v>
      </c>
      <c r="O407">
        <v>0</v>
      </c>
    </row>
    <row r="408" spans="1:15" x14ac:dyDescent="0.35">
      <c r="A408">
        <v>407</v>
      </c>
      <c r="B408" t="s">
        <v>15</v>
      </c>
      <c r="C408" t="s">
        <v>16</v>
      </c>
      <c r="D408" s="1">
        <v>45306</v>
      </c>
      <c r="E408" t="s">
        <v>29</v>
      </c>
      <c r="F408">
        <v>13</v>
      </c>
      <c r="G408">
        <v>125</v>
      </c>
      <c r="H408">
        <v>8</v>
      </c>
      <c r="I408">
        <v>3216</v>
      </c>
      <c r="J408">
        <v>55</v>
      </c>
      <c r="K408">
        <v>168</v>
      </c>
      <c r="L408">
        <v>586</v>
      </c>
      <c r="M408">
        <v>1.2515547263681499</v>
      </c>
      <c r="N408" t="s">
        <v>23</v>
      </c>
      <c r="O408">
        <v>0</v>
      </c>
    </row>
    <row r="409" spans="1:15" x14ac:dyDescent="0.35">
      <c r="A409">
        <v>408</v>
      </c>
      <c r="B409" t="s">
        <v>15</v>
      </c>
      <c r="C409" t="s">
        <v>19</v>
      </c>
      <c r="D409" s="1">
        <v>45501</v>
      </c>
      <c r="E409" t="s">
        <v>20</v>
      </c>
      <c r="F409">
        <v>11</v>
      </c>
      <c r="G409">
        <v>24</v>
      </c>
      <c r="H409">
        <v>7</v>
      </c>
      <c r="I409">
        <v>4254</v>
      </c>
      <c r="J409">
        <v>25</v>
      </c>
      <c r="K409">
        <v>11</v>
      </c>
      <c r="L409">
        <v>486</v>
      </c>
      <c r="M409">
        <v>1.12270803949224</v>
      </c>
      <c r="N409" t="s">
        <v>23</v>
      </c>
      <c r="O409">
        <v>0</v>
      </c>
    </row>
    <row r="410" spans="1:15" x14ac:dyDescent="0.35">
      <c r="A410">
        <v>409</v>
      </c>
      <c r="B410" t="s">
        <v>22</v>
      </c>
      <c r="C410" t="s">
        <v>24</v>
      </c>
      <c r="D410" s="1">
        <v>45421</v>
      </c>
      <c r="E410" t="s">
        <v>27</v>
      </c>
      <c r="F410">
        <v>20</v>
      </c>
      <c r="G410">
        <v>149</v>
      </c>
      <c r="H410">
        <v>6</v>
      </c>
      <c r="I410">
        <v>2552</v>
      </c>
      <c r="J410">
        <v>734</v>
      </c>
      <c r="K410">
        <v>283</v>
      </c>
      <c r="L410">
        <v>434</v>
      </c>
      <c r="M410">
        <v>1.56857366771159</v>
      </c>
      <c r="N410" t="s">
        <v>23</v>
      </c>
      <c r="O410">
        <v>0</v>
      </c>
    </row>
    <row r="411" spans="1:15" x14ac:dyDescent="0.35">
      <c r="A411">
        <v>410</v>
      </c>
      <c r="B411" t="s">
        <v>22</v>
      </c>
      <c r="C411" t="s">
        <v>19</v>
      </c>
      <c r="D411" s="1">
        <v>45530</v>
      </c>
      <c r="E411" t="s">
        <v>29</v>
      </c>
      <c r="F411">
        <v>9</v>
      </c>
      <c r="G411">
        <v>23</v>
      </c>
      <c r="H411">
        <v>16</v>
      </c>
      <c r="I411">
        <v>2525</v>
      </c>
      <c r="J411">
        <v>698</v>
      </c>
      <c r="K411">
        <v>535</v>
      </c>
      <c r="L411">
        <v>639</v>
      </c>
      <c r="M411">
        <v>1.74138613861386</v>
      </c>
      <c r="N411" t="s">
        <v>21</v>
      </c>
      <c r="O411">
        <v>0</v>
      </c>
    </row>
    <row r="412" spans="1:15" x14ac:dyDescent="0.35">
      <c r="A412">
        <v>411</v>
      </c>
      <c r="B412" t="s">
        <v>26</v>
      </c>
      <c r="C412" t="s">
        <v>16</v>
      </c>
      <c r="D412" s="1">
        <v>45483</v>
      </c>
      <c r="E412" t="s">
        <v>25</v>
      </c>
      <c r="F412">
        <v>21</v>
      </c>
      <c r="G412">
        <v>52</v>
      </c>
      <c r="H412">
        <v>10</v>
      </c>
      <c r="I412">
        <v>4649</v>
      </c>
      <c r="J412">
        <v>667</v>
      </c>
      <c r="K412">
        <v>291</v>
      </c>
      <c r="L412">
        <v>306</v>
      </c>
      <c r="M412">
        <v>1.2718864271886401</v>
      </c>
      <c r="N412" t="s">
        <v>23</v>
      </c>
      <c r="O412">
        <v>0</v>
      </c>
    </row>
    <row r="413" spans="1:15" x14ac:dyDescent="0.35">
      <c r="A413">
        <v>412</v>
      </c>
      <c r="B413" t="s">
        <v>26</v>
      </c>
      <c r="C413" t="s">
        <v>19</v>
      </c>
      <c r="D413" s="1">
        <v>45433</v>
      </c>
      <c r="E413" t="s">
        <v>17</v>
      </c>
      <c r="F413">
        <v>15</v>
      </c>
      <c r="G413">
        <v>116</v>
      </c>
      <c r="H413">
        <v>4</v>
      </c>
      <c r="I413">
        <v>2713</v>
      </c>
      <c r="J413">
        <v>288</v>
      </c>
      <c r="K413">
        <v>269</v>
      </c>
      <c r="L413">
        <v>672</v>
      </c>
      <c r="M413">
        <v>1.4530040545521501</v>
      </c>
      <c r="N413" t="s">
        <v>23</v>
      </c>
      <c r="O413">
        <v>0</v>
      </c>
    </row>
    <row r="414" spans="1:15" x14ac:dyDescent="0.35">
      <c r="A414">
        <v>413</v>
      </c>
      <c r="B414" t="s">
        <v>22</v>
      </c>
      <c r="C414" t="s">
        <v>19</v>
      </c>
      <c r="D414" s="1">
        <v>45556</v>
      </c>
      <c r="E414" t="s">
        <v>28</v>
      </c>
      <c r="F414">
        <v>10</v>
      </c>
      <c r="G414">
        <v>33</v>
      </c>
      <c r="H414">
        <v>20</v>
      </c>
      <c r="I414">
        <v>2018</v>
      </c>
      <c r="J414">
        <v>63</v>
      </c>
      <c r="K414">
        <v>415</v>
      </c>
      <c r="L414">
        <v>677</v>
      </c>
      <c r="M414">
        <v>1.5723488602576801</v>
      </c>
      <c r="N414" t="s">
        <v>23</v>
      </c>
      <c r="O414">
        <v>0</v>
      </c>
    </row>
    <row r="415" spans="1:15" x14ac:dyDescent="0.35">
      <c r="A415">
        <v>414</v>
      </c>
      <c r="B415" t="s">
        <v>22</v>
      </c>
      <c r="C415" t="s">
        <v>19</v>
      </c>
      <c r="D415" s="1">
        <v>45546</v>
      </c>
      <c r="E415" t="s">
        <v>25</v>
      </c>
      <c r="F415">
        <v>7</v>
      </c>
      <c r="G415">
        <v>117</v>
      </c>
      <c r="H415">
        <v>10</v>
      </c>
      <c r="I415">
        <v>2471</v>
      </c>
      <c r="J415">
        <v>270</v>
      </c>
      <c r="K415">
        <v>430</v>
      </c>
      <c r="L415">
        <v>415</v>
      </c>
      <c r="M415">
        <v>1.4512343180898399</v>
      </c>
      <c r="N415" t="s">
        <v>23</v>
      </c>
      <c r="O415">
        <v>0</v>
      </c>
    </row>
    <row r="416" spans="1:15" x14ac:dyDescent="0.35">
      <c r="A416">
        <v>415</v>
      </c>
      <c r="B416" t="s">
        <v>22</v>
      </c>
      <c r="C416" t="s">
        <v>19</v>
      </c>
      <c r="D416" s="1">
        <v>45405</v>
      </c>
      <c r="E416" t="s">
        <v>17</v>
      </c>
      <c r="F416">
        <v>15</v>
      </c>
      <c r="G416">
        <v>107</v>
      </c>
      <c r="H416">
        <v>17</v>
      </c>
      <c r="I416">
        <v>4429</v>
      </c>
      <c r="J416">
        <v>658</v>
      </c>
      <c r="K416">
        <v>489</v>
      </c>
      <c r="L416">
        <v>688</v>
      </c>
      <c r="M416">
        <v>1.4143147437344701</v>
      </c>
      <c r="N416" t="s">
        <v>23</v>
      </c>
      <c r="O416">
        <v>0</v>
      </c>
    </row>
    <row r="417" spans="1:15" x14ac:dyDescent="0.35">
      <c r="A417">
        <v>416</v>
      </c>
      <c r="B417" t="s">
        <v>26</v>
      </c>
      <c r="C417" t="s">
        <v>24</v>
      </c>
      <c r="D417" s="1">
        <v>45384</v>
      </c>
      <c r="E417" t="s">
        <v>17</v>
      </c>
      <c r="F417">
        <v>23</v>
      </c>
      <c r="G417">
        <v>113</v>
      </c>
      <c r="H417">
        <v>10</v>
      </c>
      <c r="I417">
        <v>2456</v>
      </c>
      <c r="J417">
        <v>104</v>
      </c>
      <c r="K417">
        <v>484</v>
      </c>
      <c r="L417">
        <v>132</v>
      </c>
      <c r="M417">
        <v>1.29315960912052</v>
      </c>
      <c r="N417" t="s">
        <v>23</v>
      </c>
      <c r="O417">
        <v>0</v>
      </c>
    </row>
    <row r="418" spans="1:15" x14ac:dyDescent="0.35">
      <c r="A418">
        <v>417</v>
      </c>
      <c r="B418" t="s">
        <v>22</v>
      </c>
      <c r="C418" t="s">
        <v>24</v>
      </c>
      <c r="D418" s="1">
        <v>45337</v>
      </c>
      <c r="E418" t="s">
        <v>27</v>
      </c>
      <c r="F418">
        <v>17</v>
      </c>
      <c r="G418">
        <v>153</v>
      </c>
      <c r="H418">
        <v>18</v>
      </c>
      <c r="I418">
        <v>1870</v>
      </c>
      <c r="J418">
        <v>368</v>
      </c>
      <c r="K418">
        <v>230</v>
      </c>
      <c r="L418">
        <v>315</v>
      </c>
      <c r="M418">
        <v>1.48823529411764</v>
      </c>
      <c r="N418" t="s">
        <v>23</v>
      </c>
      <c r="O418">
        <v>0</v>
      </c>
    </row>
    <row r="419" spans="1:15" x14ac:dyDescent="0.35">
      <c r="A419">
        <v>418</v>
      </c>
      <c r="B419" t="s">
        <v>26</v>
      </c>
      <c r="C419" t="s">
        <v>19</v>
      </c>
      <c r="D419" s="1">
        <v>45442</v>
      </c>
      <c r="E419" t="s">
        <v>27</v>
      </c>
      <c r="F419">
        <v>8</v>
      </c>
      <c r="G419">
        <v>261</v>
      </c>
      <c r="H419">
        <v>6</v>
      </c>
      <c r="I419">
        <v>3849</v>
      </c>
      <c r="J419">
        <v>125</v>
      </c>
      <c r="K419">
        <v>483</v>
      </c>
      <c r="L419">
        <v>55</v>
      </c>
      <c r="M419">
        <v>1.1722525331254801</v>
      </c>
      <c r="N419" t="s">
        <v>23</v>
      </c>
      <c r="O419">
        <v>0</v>
      </c>
    </row>
    <row r="420" spans="1:15" x14ac:dyDescent="0.35">
      <c r="A420">
        <v>419</v>
      </c>
      <c r="B420" t="s">
        <v>22</v>
      </c>
      <c r="C420" t="s">
        <v>24</v>
      </c>
      <c r="D420" s="1">
        <v>45548</v>
      </c>
      <c r="E420" t="s">
        <v>30</v>
      </c>
      <c r="F420">
        <v>7</v>
      </c>
      <c r="G420">
        <v>97</v>
      </c>
      <c r="H420">
        <v>4</v>
      </c>
      <c r="I420">
        <v>1031</v>
      </c>
      <c r="J420">
        <v>702</v>
      </c>
      <c r="K420">
        <v>392</v>
      </c>
      <c r="L420">
        <v>543</v>
      </c>
      <c r="M420">
        <v>2.58777885548011</v>
      </c>
      <c r="N420" t="s">
        <v>18</v>
      </c>
      <c r="O420">
        <v>0</v>
      </c>
    </row>
    <row r="421" spans="1:15" x14ac:dyDescent="0.35">
      <c r="A421">
        <v>420</v>
      </c>
      <c r="B421" t="s">
        <v>15</v>
      </c>
      <c r="C421" t="s">
        <v>24</v>
      </c>
      <c r="D421" s="1">
        <v>45394</v>
      </c>
      <c r="E421" t="s">
        <v>30</v>
      </c>
      <c r="F421">
        <v>11</v>
      </c>
      <c r="G421">
        <v>61</v>
      </c>
      <c r="H421">
        <v>15</v>
      </c>
      <c r="I421">
        <v>2857</v>
      </c>
      <c r="J421">
        <v>424</v>
      </c>
      <c r="K421">
        <v>585</v>
      </c>
      <c r="L421">
        <v>469</v>
      </c>
      <c r="M421">
        <v>1.51732586629331</v>
      </c>
      <c r="N421" t="s">
        <v>23</v>
      </c>
      <c r="O421">
        <v>0</v>
      </c>
    </row>
    <row r="422" spans="1:15" x14ac:dyDescent="0.35">
      <c r="A422">
        <v>421</v>
      </c>
      <c r="B422" t="s">
        <v>22</v>
      </c>
      <c r="C422" t="s">
        <v>24</v>
      </c>
      <c r="D422" s="1">
        <v>45462</v>
      </c>
      <c r="E422" t="s">
        <v>25</v>
      </c>
      <c r="F422">
        <v>12</v>
      </c>
      <c r="G422">
        <v>106</v>
      </c>
      <c r="H422">
        <v>18</v>
      </c>
      <c r="I422">
        <v>1498</v>
      </c>
      <c r="J422">
        <v>325</v>
      </c>
      <c r="K422">
        <v>61</v>
      </c>
      <c r="L422">
        <v>5</v>
      </c>
      <c r="M422">
        <v>1.26101468624833</v>
      </c>
      <c r="N422" t="s">
        <v>23</v>
      </c>
      <c r="O422">
        <v>0</v>
      </c>
    </row>
    <row r="423" spans="1:15" x14ac:dyDescent="0.35">
      <c r="A423">
        <v>422</v>
      </c>
      <c r="B423" t="s">
        <v>26</v>
      </c>
      <c r="C423" t="s">
        <v>24</v>
      </c>
      <c r="D423" s="1">
        <v>45373</v>
      </c>
      <c r="E423" t="s">
        <v>30</v>
      </c>
      <c r="F423">
        <v>19</v>
      </c>
      <c r="G423">
        <v>226</v>
      </c>
      <c r="H423">
        <v>13</v>
      </c>
      <c r="I423">
        <v>4060</v>
      </c>
      <c r="J423">
        <v>786</v>
      </c>
      <c r="K423">
        <v>92</v>
      </c>
      <c r="L423">
        <v>133</v>
      </c>
      <c r="M423">
        <v>1.24901477832512</v>
      </c>
      <c r="N423" t="s">
        <v>23</v>
      </c>
      <c r="O423">
        <v>0</v>
      </c>
    </row>
    <row r="424" spans="1:15" x14ac:dyDescent="0.35">
      <c r="A424">
        <v>423</v>
      </c>
      <c r="B424" t="s">
        <v>15</v>
      </c>
      <c r="C424" t="s">
        <v>19</v>
      </c>
      <c r="D424" s="1">
        <v>45536</v>
      </c>
      <c r="E424" t="s">
        <v>20</v>
      </c>
      <c r="F424">
        <v>17</v>
      </c>
      <c r="G424">
        <v>27</v>
      </c>
      <c r="H424">
        <v>10</v>
      </c>
      <c r="I424">
        <v>3190</v>
      </c>
      <c r="J424">
        <v>9</v>
      </c>
      <c r="K424">
        <v>40</v>
      </c>
      <c r="L424">
        <v>547</v>
      </c>
      <c r="M424">
        <v>1.1868338557993701</v>
      </c>
      <c r="N424" t="s">
        <v>23</v>
      </c>
      <c r="O424">
        <v>0</v>
      </c>
    </row>
    <row r="425" spans="1:15" x14ac:dyDescent="0.35">
      <c r="A425">
        <v>424</v>
      </c>
      <c r="B425" t="s">
        <v>26</v>
      </c>
      <c r="C425" t="s">
        <v>16</v>
      </c>
      <c r="D425" s="1">
        <v>45563</v>
      </c>
      <c r="E425" t="s">
        <v>28</v>
      </c>
      <c r="F425">
        <v>13</v>
      </c>
      <c r="G425">
        <v>196</v>
      </c>
      <c r="H425">
        <v>9</v>
      </c>
      <c r="I425">
        <v>1611</v>
      </c>
      <c r="J425">
        <v>23</v>
      </c>
      <c r="K425">
        <v>6</v>
      </c>
      <c r="L425">
        <v>642</v>
      </c>
      <c r="M425">
        <v>1.4165114835505801</v>
      </c>
      <c r="N425" t="s">
        <v>23</v>
      </c>
      <c r="O425">
        <v>0</v>
      </c>
    </row>
    <row r="426" spans="1:15" x14ac:dyDescent="0.35">
      <c r="A426">
        <v>425</v>
      </c>
      <c r="B426" t="s">
        <v>22</v>
      </c>
      <c r="C426" t="s">
        <v>16</v>
      </c>
      <c r="D426" s="1">
        <v>45358</v>
      </c>
      <c r="E426" t="s">
        <v>27</v>
      </c>
      <c r="F426">
        <v>8</v>
      </c>
      <c r="G426">
        <v>43</v>
      </c>
      <c r="H426">
        <v>9</v>
      </c>
      <c r="I426">
        <v>891</v>
      </c>
      <c r="J426">
        <v>397</v>
      </c>
      <c r="K426">
        <v>517</v>
      </c>
      <c r="L426">
        <v>603</v>
      </c>
      <c r="M426">
        <v>2.7025813692480298</v>
      </c>
      <c r="N426" t="s">
        <v>18</v>
      </c>
      <c r="O426">
        <v>0</v>
      </c>
    </row>
    <row r="427" spans="1:15" x14ac:dyDescent="0.35">
      <c r="A427">
        <v>426</v>
      </c>
      <c r="B427" t="s">
        <v>26</v>
      </c>
      <c r="C427" t="s">
        <v>24</v>
      </c>
      <c r="D427" s="1">
        <v>45440</v>
      </c>
      <c r="E427" t="s">
        <v>17</v>
      </c>
      <c r="F427">
        <v>19</v>
      </c>
      <c r="G427">
        <v>88</v>
      </c>
      <c r="H427">
        <v>10</v>
      </c>
      <c r="I427">
        <v>3784</v>
      </c>
      <c r="J427">
        <v>750</v>
      </c>
      <c r="K427">
        <v>534</v>
      </c>
      <c r="L427">
        <v>611</v>
      </c>
      <c r="M427">
        <v>1.5007928118393199</v>
      </c>
      <c r="N427" t="s">
        <v>23</v>
      </c>
      <c r="O427">
        <v>0</v>
      </c>
    </row>
    <row r="428" spans="1:15" x14ac:dyDescent="0.35">
      <c r="A428">
        <v>427</v>
      </c>
      <c r="B428" t="s">
        <v>22</v>
      </c>
      <c r="C428" t="s">
        <v>16</v>
      </c>
      <c r="D428" s="1">
        <v>45542</v>
      </c>
      <c r="E428" t="s">
        <v>28</v>
      </c>
      <c r="F428">
        <v>13</v>
      </c>
      <c r="G428">
        <v>134</v>
      </c>
      <c r="H428">
        <v>4</v>
      </c>
      <c r="I428">
        <v>2992</v>
      </c>
      <c r="J428">
        <v>773</v>
      </c>
      <c r="K428">
        <v>194</v>
      </c>
      <c r="L428">
        <v>169</v>
      </c>
      <c r="M428">
        <v>1.37967914438502</v>
      </c>
      <c r="N428" t="s">
        <v>23</v>
      </c>
      <c r="O428">
        <v>0</v>
      </c>
    </row>
    <row r="429" spans="1:15" x14ac:dyDescent="0.35">
      <c r="A429">
        <v>428</v>
      </c>
      <c r="B429" t="s">
        <v>15</v>
      </c>
      <c r="C429" t="s">
        <v>24</v>
      </c>
      <c r="D429" s="1">
        <v>45400</v>
      </c>
      <c r="E429" t="s">
        <v>27</v>
      </c>
      <c r="F429">
        <v>7</v>
      </c>
      <c r="G429">
        <v>212</v>
      </c>
      <c r="H429">
        <v>20</v>
      </c>
      <c r="I429">
        <v>229</v>
      </c>
      <c r="J429">
        <v>608</v>
      </c>
      <c r="K429">
        <v>518</v>
      </c>
      <c r="L429">
        <v>174</v>
      </c>
      <c r="M429">
        <v>6.6768558951964998</v>
      </c>
      <c r="N429" t="s">
        <v>18</v>
      </c>
      <c r="O429">
        <v>0</v>
      </c>
    </row>
    <row r="430" spans="1:15" x14ac:dyDescent="0.35">
      <c r="A430">
        <v>429</v>
      </c>
      <c r="B430" t="s">
        <v>15</v>
      </c>
      <c r="C430" t="s">
        <v>19</v>
      </c>
      <c r="D430" s="1">
        <v>45422</v>
      </c>
      <c r="E430" t="s">
        <v>30</v>
      </c>
      <c r="F430">
        <v>9</v>
      </c>
      <c r="G430">
        <v>30</v>
      </c>
      <c r="H430">
        <v>1</v>
      </c>
      <c r="I430">
        <v>4430</v>
      </c>
      <c r="J430">
        <v>643</v>
      </c>
      <c r="K430">
        <v>51</v>
      </c>
      <c r="L430">
        <v>609</v>
      </c>
      <c r="M430">
        <v>1.2941309255079001</v>
      </c>
      <c r="N430" t="s">
        <v>23</v>
      </c>
      <c r="O430">
        <v>0</v>
      </c>
    </row>
    <row r="431" spans="1:15" x14ac:dyDescent="0.35">
      <c r="A431">
        <v>430</v>
      </c>
      <c r="B431" t="s">
        <v>26</v>
      </c>
      <c r="C431" t="s">
        <v>24</v>
      </c>
      <c r="D431" s="1">
        <v>45351</v>
      </c>
      <c r="E431" t="s">
        <v>27</v>
      </c>
      <c r="F431">
        <v>21</v>
      </c>
      <c r="G431">
        <v>98</v>
      </c>
      <c r="H431">
        <v>6</v>
      </c>
      <c r="I431">
        <v>3464</v>
      </c>
      <c r="J431">
        <v>459</v>
      </c>
      <c r="K431">
        <v>391</v>
      </c>
      <c r="L431">
        <v>127</v>
      </c>
      <c r="M431">
        <v>1.2820438799076199</v>
      </c>
      <c r="N431" t="s">
        <v>23</v>
      </c>
      <c r="O431">
        <v>0</v>
      </c>
    </row>
    <row r="432" spans="1:15" x14ac:dyDescent="0.35">
      <c r="A432">
        <v>431</v>
      </c>
      <c r="B432" t="s">
        <v>26</v>
      </c>
      <c r="C432" t="s">
        <v>24</v>
      </c>
      <c r="D432" s="1">
        <v>45296</v>
      </c>
      <c r="E432" t="s">
        <v>30</v>
      </c>
      <c r="F432">
        <v>10</v>
      </c>
      <c r="G432">
        <v>234</v>
      </c>
      <c r="H432">
        <v>3</v>
      </c>
      <c r="I432">
        <v>2516</v>
      </c>
      <c r="J432">
        <v>435</v>
      </c>
      <c r="K432">
        <v>105</v>
      </c>
      <c r="L432">
        <v>679</v>
      </c>
      <c r="M432">
        <v>1.4844992050874399</v>
      </c>
      <c r="N432" t="s">
        <v>23</v>
      </c>
      <c r="O432">
        <v>0</v>
      </c>
    </row>
    <row r="433" spans="1:15" x14ac:dyDescent="0.35">
      <c r="A433">
        <v>432</v>
      </c>
      <c r="B433" t="s">
        <v>22</v>
      </c>
      <c r="C433" t="s">
        <v>16</v>
      </c>
      <c r="D433" s="1">
        <v>45553</v>
      </c>
      <c r="E433" t="s">
        <v>25</v>
      </c>
      <c r="F433">
        <v>12</v>
      </c>
      <c r="G433">
        <v>154</v>
      </c>
      <c r="H433">
        <v>16</v>
      </c>
      <c r="I433">
        <v>1014</v>
      </c>
      <c r="J433">
        <v>294</v>
      </c>
      <c r="K433">
        <v>118</v>
      </c>
      <c r="L433">
        <v>109</v>
      </c>
      <c r="M433">
        <v>1.5138067061143901</v>
      </c>
      <c r="N433" t="s">
        <v>23</v>
      </c>
      <c r="O433">
        <v>0</v>
      </c>
    </row>
    <row r="434" spans="1:15" x14ac:dyDescent="0.35">
      <c r="A434">
        <v>433</v>
      </c>
      <c r="B434" t="s">
        <v>15</v>
      </c>
      <c r="C434" t="s">
        <v>16</v>
      </c>
      <c r="D434" s="1">
        <v>45395</v>
      </c>
      <c r="E434" t="s">
        <v>28</v>
      </c>
      <c r="F434">
        <v>23</v>
      </c>
      <c r="G434">
        <v>274</v>
      </c>
      <c r="H434">
        <v>6</v>
      </c>
      <c r="I434">
        <v>2982</v>
      </c>
      <c r="J434">
        <v>725</v>
      </c>
      <c r="K434">
        <v>421</v>
      </c>
      <c r="L434">
        <v>303</v>
      </c>
      <c r="M434">
        <v>1.4859154929577401</v>
      </c>
      <c r="N434" t="s">
        <v>23</v>
      </c>
      <c r="O434">
        <v>0</v>
      </c>
    </row>
    <row r="435" spans="1:15" x14ac:dyDescent="0.35">
      <c r="A435">
        <v>434</v>
      </c>
      <c r="B435" t="s">
        <v>26</v>
      </c>
      <c r="C435" t="s">
        <v>16</v>
      </c>
      <c r="D435" s="1">
        <v>45538</v>
      </c>
      <c r="E435" t="s">
        <v>17</v>
      </c>
      <c r="F435">
        <v>9</v>
      </c>
      <c r="G435">
        <v>272</v>
      </c>
      <c r="H435">
        <v>4</v>
      </c>
      <c r="I435">
        <v>2758</v>
      </c>
      <c r="J435">
        <v>245</v>
      </c>
      <c r="K435">
        <v>4</v>
      </c>
      <c r="L435">
        <v>14</v>
      </c>
      <c r="M435">
        <v>1.0953589557650401</v>
      </c>
      <c r="N435" t="s">
        <v>23</v>
      </c>
      <c r="O435">
        <v>0</v>
      </c>
    </row>
    <row r="436" spans="1:15" x14ac:dyDescent="0.35">
      <c r="A436">
        <v>435</v>
      </c>
      <c r="B436" t="s">
        <v>26</v>
      </c>
      <c r="C436" t="s">
        <v>16</v>
      </c>
      <c r="D436" s="1">
        <v>45338</v>
      </c>
      <c r="E436" t="s">
        <v>30</v>
      </c>
      <c r="F436">
        <v>20</v>
      </c>
      <c r="G436">
        <v>171</v>
      </c>
      <c r="H436">
        <v>8</v>
      </c>
      <c r="I436">
        <v>4241</v>
      </c>
      <c r="J436">
        <v>81</v>
      </c>
      <c r="K436">
        <v>105</v>
      </c>
      <c r="L436">
        <v>263</v>
      </c>
      <c r="M436">
        <v>1.1058712567790601</v>
      </c>
      <c r="N436" t="s">
        <v>23</v>
      </c>
      <c r="O436">
        <v>0</v>
      </c>
    </row>
    <row r="437" spans="1:15" x14ac:dyDescent="0.35">
      <c r="A437">
        <v>436</v>
      </c>
      <c r="B437" t="s">
        <v>22</v>
      </c>
      <c r="C437" t="s">
        <v>24</v>
      </c>
      <c r="D437" s="1">
        <v>45529</v>
      </c>
      <c r="E437" t="s">
        <v>20</v>
      </c>
      <c r="F437">
        <v>16</v>
      </c>
      <c r="G437">
        <v>238</v>
      </c>
      <c r="H437">
        <v>3</v>
      </c>
      <c r="I437">
        <v>460</v>
      </c>
      <c r="J437">
        <v>107</v>
      </c>
      <c r="K437">
        <v>180</v>
      </c>
      <c r="L437">
        <v>41</v>
      </c>
      <c r="M437">
        <v>1.7130434782608599</v>
      </c>
      <c r="N437" t="s">
        <v>21</v>
      </c>
      <c r="O437">
        <v>0</v>
      </c>
    </row>
    <row r="438" spans="1:15" x14ac:dyDescent="0.35">
      <c r="A438">
        <v>437</v>
      </c>
      <c r="B438" t="s">
        <v>26</v>
      </c>
      <c r="C438" t="s">
        <v>16</v>
      </c>
      <c r="D438" s="1">
        <v>45340</v>
      </c>
      <c r="E438" t="s">
        <v>20</v>
      </c>
      <c r="F438">
        <v>16</v>
      </c>
      <c r="G438">
        <v>203</v>
      </c>
      <c r="H438">
        <v>14</v>
      </c>
      <c r="I438">
        <v>425</v>
      </c>
      <c r="J438">
        <v>14</v>
      </c>
      <c r="K438">
        <v>143</v>
      </c>
      <c r="L438">
        <v>680</v>
      </c>
      <c r="M438">
        <v>2.96941176470588</v>
      </c>
      <c r="N438" t="s">
        <v>18</v>
      </c>
      <c r="O438">
        <v>0</v>
      </c>
    </row>
    <row r="439" spans="1:15" x14ac:dyDescent="0.35">
      <c r="A439">
        <v>438</v>
      </c>
      <c r="B439" t="s">
        <v>15</v>
      </c>
      <c r="C439" t="s">
        <v>24</v>
      </c>
      <c r="D439" s="1">
        <v>45429</v>
      </c>
      <c r="E439" t="s">
        <v>30</v>
      </c>
      <c r="F439">
        <v>18</v>
      </c>
      <c r="G439">
        <v>253</v>
      </c>
      <c r="H439">
        <v>8</v>
      </c>
      <c r="I439">
        <v>811</v>
      </c>
      <c r="J439">
        <v>386</v>
      </c>
      <c r="K439">
        <v>352</v>
      </c>
      <c r="L439">
        <v>188</v>
      </c>
      <c r="M439">
        <v>2.1418002466091202</v>
      </c>
      <c r="N439" t="s">
        <v>21</v>
      </c>
      <c r="O439">
        <v>0</v>
      </c>
    </row>
    <row r="440" spans="1:15" x14ac:dyDescent="0.35">
      <c r="A440">
        <v>439</v>
      </c>
      <c r="B440" t="s">
        <v>15</v>
      </c>
      <c r="C440" t="s">
        <v>19</v>
      </c>
      <c r="D440" s="1">
        <v>45489</v>
      </c>
      <c r="E440" t="s">
        <v>17</v>
      </c>
      <c r="F440">
        <v>7</v>
      </c>
      <c r="G440">
        <v>101</v>
      </c>
      <c r="H440">
        <v>3</v>
      </c>
      <c r="I440">
        <v>3967</v>
      </c>
      <c r="J440">
        <v>436</v>
      </c>
      <c r="K440">
        <v>172</v>
      </c>
      <c r="L440">
        <v>116</v>
      </c>
      <c r="M440">
        <v>1.1825056717922799</v>
      </c>
      <c r="N440" t="s">
        <v>23</v>
      </c>
      <c r="O440">
        <v>0</v>
      </c>
    </row>
    <row r="441" spans="1:15" x14ac:dyDescent="0.35">
      <c r="A441">
        <v>440</v>
      </c>
      <c r="B441" t="s">
        <v>22</v>
      </c>
      <c r="C441" t="s">
        <v>16</v>
      </c>
      <c r="D441" s="1">
        <v>45505</v>
      </c>
      <c r="E441" t="s">
        <v>27</v>
      </c>
      <c r="F441">
        <v>18</v>
      </c>
      <c r="G441">
        <v>203</v>
      </c>
      <c r="H441">
        <v>19</v>
      </c>
      <c r="I441">
        <v>4889</v>
      </c>
      <c r="J441">
        <v>499</v>
      </c>
      <c r="K441">
        <v>584</v>
      </c>
      <c r="L441">
        <v>695</v>
      </c>
      <c r="M441">
        <v>1.36367355287379</v>
      </c>
      <c r="N441" t="s">
        <v>23</v>
      </c>
      <c r="O441">
        <v>0</v>
      </c>
    </row>
    <row r="442" spans="1:15" x14ac:dyDescent="0.35">
      <c r="A442">
        <v>441</v>
      </c>
      <c r="B442" t="s">
        <v>22</v>
      </c>
      <c r="C442" t="s">
        <v>24</v>
      </c>
      <c r="D442" s="1">
        <v>45306</v>
      </c>
      <c r="E442" t="s">
        <v>29</v>
      </c>
      <c r="F442">
        <v>7</v>
      </c>
      <c r="G442">
        <v>52</v>
      </c>
      <c r="H442">
        <v>8</v>
      </c>
      <c r="I442">
        <v>1120</v>
      </c>
      <c r="J442">
        <v>499</v>
      </c>
      <c r="K442">
        <v>501</v>
      </c>
      <c r="L442">
        <v>116</v>
      </c>
      <c r="M442">
        <v>1.9964285714285701</v>
      </c>
      <c r="N442" t="s">
        <v>21</v>
      </c>
      <c r="O442">
        <v>0</v>
      </c>
    </row>
    <row r="443" spans="1:15" x14ac:dyDescent="0.35">
      <c r="A443">
        <v>442</v>
      </c>
      <c r="B443" t="s">
        <v>26</v>
      </c>
      <c r="C443" t="s">
        <v>19</v>
      </c>
      <c r="D443" s="1">
        <v>45452</v>
      </c>
      <c r="E443" t="s">
        <v>20</v>
      </c>
      <c r="F443">
        <v>13</v>
      </c>
      <c r="G443">
        <v>193</v>
      </c>
      <c r="H443">
        <v>16</v>
      </c>
      <c r="I443">
        <v>151</v>
      </c>
      <c r="J443">
        <v>726</v>
      </c>
      <c r="K443">
        <v>539</v>
      </c>
      <c r="L443">
        <v>591</v>
      </c>
      <c r="M443">
        <v>13.2913907284768</v>
      </c>
      <c r="N443" t="s">
        <v>18</v>
      </c>
      <c r="O443">
        <v>0</v>
      </c>
    </row>
    <row r="444" spans="1:15" x14ac:dyDescent="0.35">
      <c r="A444">
        <v>443</v>
      </c>
      <c r="B444" t="s">
        <v>22</v>
      </c>
      <c r="C444" t="s">
        <v>19</v>
      </c>
      <c r="D444" s="1">
        <v>45559</v>
      </c>
      <c r="E444" t="s">
        <v>17</v>
      </c>
      <c r="F444">
        <v>18</v>
      </c>
      <c r="G444">
        <v>96</v>
      </c>
      <c r="H444">
        <v>17</v>
      </c>
      <c r="I444">
        <v>830</v>
      </c>
      <c r="J444">
        <v>448</v>
      </c>
      <c r="K444">
        <v>256</v>
      </c>
      <c r="L444">
        <v>494</v>
      </c>
      <c r="M444">
        <v>2.4433734939759</v>
      </c>
      <c r="N444" t="s">
        <v>18</v>
      </c>
      <c r="O444">
        <v>0</v>
      </c>
    </row>
    <row r="445" spans="1:15" x14ac:dyDescent="0.35">
      <c r="A445">
        <v>444</v>
      </c>
      <c r="B445" t="s">
        <v>22</v>
      </c>
      <c r="C445" t="s">
        <v>24</v>
      </c>
      <c r="D445" s="1">
        <v>45319</v>
      </c>
      <c r="E445" t="s">
        <v>20</v>
      </c>
      <c r="F445">
        <v>11</v>
      </c>
      <c r="G445">
        <v>58</v>
      </c>
      <c r="H445">
        <v>15</v>
      </c>
      <c r="I445">
        <v>145</v>
      </c>
      <c r="J445">
        <v>663</v>
      </c>
      <c r="K445">
        <v>162</v>
      </c>
      <c r="L445">
        <v>518</v>
      </c>
      <c r="M445">
        <v>10.2620689655172</v>
      </c>
      <c r="N445" t="s">
        <v>18</v>
      </c>
      <c r="O445">
        <v>0</v>
      </c>
    </row>
    <row r="446" spans="1:15" x14ac:dyDescent="0.35">
      <c r="A446">
        <v>445</v>
      </c>
      <c r="B446" t="s">
        <v>26</v>
      </c>
      <c r="C446" t="s">
        <v>16</v>
      </c>
      <c r="D446" s="1">
        <v>45456</v>
      </c>
      <c r="E446" t="s">
        <v>27</v>
      </c>
      <c r="F446">
        <v>23</v>
      </c>
      <c r="G446">
        <v>213</v>
      </c>
      <c r="H446">
        <v>12</v>
      </c>
      <c r="I446">
        <v>2023</v>
      </c>
      <c r="J446">
        <v>343</v>
      </c>
      <c r="K446">
        <v>286</v>
      </c>
      <c r="L446">
        <v>52</v>
      </c>
      <c r="M446">
        <v>1.3366287691547201</v>
      </c>
      <c r="N446" t="s">
        <v>23</v>
      </c>
      <c r="O446">
        <v>0</v>
      </c>
    </row>
    <row r="447" spans="1:15" x14ac:dyDescent="0.35">
      <c r="A447">
        <v>446</v>
      </c>
      <c r="B447" t="s">
        <v>22</v>
      </c>
      <c r="C447" t="s">
        <v>16</v>
      </c>
      <c r="D447" s="1">
        <v>45412</v>
      </c>
      <c r="E447" t="s">
        <v>17</v>
      </c>
      <c r="F447">
        <v>21</v>
      </c>
      <c r="G447">
        <v>248</v>
      </c>
      <c r="H447">
        <v>10</v>
      </c>
      <c r="I447">
        <v>695</v>
      </c>
      <c r="J447">
        <v>475</v>
      </c>
      <c r="K447">
        <v>456</v>
      </c>
      <c r="L447">
        <v>587</v>
      </c>
      <c r="M447">
        <v>3.1841726618705</v>
      </c>
      <c r="N447" t="s">
        <v>18</v>
      </c>
      <c r="O447">
        <v>0</v>
      </c>
    </row>
    <row r="448" spans="1:15" x14ac:dyDescent="0.35">
      <c r="A448">
        <v>447</v>
      </c>
      <c r="B448" t="s">
        <v>22</v>
      </c>
      <c r="C448" t="s">
        <v>24</v>
      </c>
      <c r="D448" s="1">
        <v>45352</v>
      </c>
      <c r="E448" t="s">
        <v>30</v>
      </c>
      <c r="F448">
        <v>7</v>
      </c>
      <c r="G448">
        <v>20</v>
      </c>
      <c r="H448">
        <v>2</v>
      </c>
      <c r="I448">
        <v>4124</v>
      </c>
      <c r="J448">
        <v>768</v>
      </c>
      <c r="K448">
        <v>20</v>
      </c>
      <c r="L448">
        <v>106</v>
      </c>
      <c r="M448">
        <v>1.21677982541222</v>
      </c>
      <c r="N448" t="s">
        <v>23</v>
      </c>
      <c r="O448">
        <v>0</v>
      </c>
    </row>
    <row r="449" spans="1:15" x14ac:dyDescent="0.35">
      <c r="A449">
        <v>448</v>
      </c>
      <c r="B449" t="s">
        <v>26</v>
      </c>
      <c r="C449" t="s">
        <v>24</v>
      </c>
      <c r="D449" s="1">
        <v>45447</v>
      </c>
      <c r="E449" t="s">
        <v>17</v>
      </c>
      <c r="F449">
        <v>16</v>
      </c>
      <c r="G449">
        <v>206</v>
      </c>
      <c r="H449">
        <v>1</v>
      </c>
      <c r="I449">
        <v>4214</v>
      </c>
      <c r="J449">
        <v>580</v>
      </c>
      <c r="K449">
        <v>213</v>
      </c>
      <c r="L449">
        <v>671</v>
      </c>
      <c r="M449">
        <v>1.3474133839582301</v>
      </c>
      <c r="N449" t="s">
        <v>23</v>
      </c>
      <c r="O449">
        <v>0</v>
      </c>
    </row>
    <row r="450" spans="1:15" x14ac:dyDescent="0.35">
      <c r="A450">
        <v>449</v>
      </c>
      <c r="B450" t="s">
        <v>26</v>
      </c>
      <c r="C450" t="s">
        <v>24</v>
      </c>
      <c r="D450" s="1">
        <v>45406</v>
      </c>
      <c r="E450" t="s">
        <v>25</v>
      </c>
      <c r="F450">
        <v>17</v>
      </c>
      <c r="G450">
        <v>251</v>
      </c>
      <c r="H450">
        <v>3</v>
      </c>
      <c r="I450">
        <v>3772</v>
      </c>
      <c r="J450">
        <v>344</v>
      </c>
      <c r="K450">
        <v>575</v>
      </c>
      <c r="L450">
        <v>635</v>
      </c>
      <c r="M450">
        <v>1.4119830328737999</v>
      </c>
      <c r="N450" t="s">
        <v>23</v>
      </c>
      <c r="O450">
        <v>0</v>
      </c>
    </row>
    <row r="451" spans="1:15" x14ac:dyDescent="0.35">
      <c r="A451">
        <v>450</v>
      </c>
      <c r="B451" t="s">
        <v>26</v>
      </c>
      <c r="C451" t="s">
        <v>24</v>
      </c>
      <c r="D451" s="1">
        <v>45341</v>
      </c>
      <c r="E451" t="s">
        <v>29</v>
      </c>
      <c r="F451">
        <v>23</v>
      </c>
      <c r="G451">
        <v>287</v>
      </c>
      <c r="H451">
        <v>11</v>
      </c>
      <c r="I451">
        <v>1866</v>
      </c>
      <c r="J451">
        <v>7</v>
      </c>
      <c r="K451">
        <v>351</v>
      </c>
      <c r="L451">
        <v>364</v>
      </c>
      <c r="M451">
        <v>1.3869239013933501</v>
      </c>
      <c r="N451" t="s">
        <v>23</v>
      </c>
      <c r="O451">
        <v>0</v>
      </c>
    </row>
    <row r="452" spans="1:15" x14ac:dyDescent="0.35">
      <c r="A452">
        <v>451</v>
      </c>
      <c r="B452" t="s">
        <v>26</v>
      </c>
      <c r="C452" t="s">
        <v>19</v>
      </c>
      <c r="D452" s="1">
        <v>45346</v>
      </c>
      <c r="E452" t="s">
        <v>28</v>
      </c>
      <c r="F452">
        <v>19</v>
      </c>
      <c r="G452">
        <v>74</v>
      </c>
      <c r="H452">
        <v>8</v>
      </c>
      <c r="I452">
        <v>425</v>
      </c>
      <c r="J452">
        <v>173</v>
      </c>
      <c r="K452">
        <v>506</v>
      </c>
      <c r="L452">
        <v>144</v>
      </c>
      <c r="M452">
        <v>2.9364705882352902</v>
      </c>
      <c r="N452" t="s">
        <v>18</v>
      </c>
      <c r="O452">
        <v>0</v>
      </c>
    </row>
    <row r="453" spans="1:15" x14ac:dyDescent="0.35">
      <c r="A453">
        <v>452</v>
      </c>
      <c r="B453" t="s">
        <v>22</v>
      </c>
      <c r="C453" t="s">
        <v>16</v>
      </c>
      <c r="D453" s="1">
        <v>45392</v>
      </c>
      <c r="E453" t="s">
        <v>25</v>
      </c>
      <c r="F453">
        <v>16</v>
      </c>
      <c r="G453">
        <v>75</v>
      </c>
      <c r="H453">
        <v>13</v>
      </c>
      <c r="I453">
        <v>1586</v>
      </c>
      <c r="J453">
        <v>128</v>
      </c>
      <c r="K453">
        <v>404</v>
      </c>
      <c r="L453">
        <v>221</v>
      </c>
      <c r="M453">
        <v>1.4747793190416101</v>
      </c>
      <c r="N453" t="s">
        <v>23</v>
      </c>
      <c r="O453">
        <v>0</v>
      </c>
    </row>
    <row r="454" spans="1:15" x14ac:dyDescent="0.35">
      <c r="A454">
        <v>453</v>
      </c>
      <c r="B454" t="s">
        <v>26</v>
      </c>
      <c r="C454" t="s">
        <v>19</v>
      </c>
      <c r="D454" s="1">
        <v>45315</v>
      </c>
      <c r="E454" t="s">
        <v>25</v>
      </c>
      <c r="F454">
        <v>22</v>
      </c>
      <c r="G454">
        <v>88</v>
      </c>
      <c r="H454">
        <v>15</v>
      </c>
      <c r="I454">
        <v>4873</v>
      </c>
      <c r="J454">
        <v>131</v>
      </c>
      <c r="K454">
        <v>463</v>
      </c>
      <c r="L454">
        <v>469</v>
      </c>
      <c r="M454">
        <v>1.21814077570285</v>
      </c>
      <c r="N454" t="s">
        <v>23</v>
      </c>
      <c r="O454">
        <v>0</v>
      </c>
    </row>
    <row r="455" spans="1:15" x14ac:dyDescent="0.35">
      <c r="A455">
        <v>454</v>
      </c>
      <c r="B455" t="s">
        <v>22</v>
      </c>
      <c r="C455" t="s">
        <v>19</v>
      </c>
      <c r="D455" s="1">
        <v>45294</v>
      </c>
      <c r="E455" t="s">
        <v>25</v>
      </c>
      <c r="F455">
        <v>21</v>
      </c>
      <c r="G455">
        <v>280</v>
      </c>
      <c r="H455">
        <v>5</v>
      </c>
      <c r="I455">
        <v>4394</v>
      </c>
      <c r="J455">
        <v>758</v>
      </c>
      <c r="K455">
        <v>51</v>
      </c>
      <c r="L455">
        <v>567</v>
      </c>
      <c r="M455">
        <v>1.31315430131998</v>
      </c>
      <c r="N455" t="s">
        <v>23</v>
      </c>
      <c r="O455">
        <v>0</v>
      </c>
    </row>
    <row r="456" spans="1:15" x14ac:dyDescent="0.35">
      <c r="A456">
        <v>455</v>
      </c>
      <c r="B456" t="s">
        <v>22</v>
      </c>
      <c r="C456" t="s">
        <v>19</v>
      </c>
      <c r="D456" s="1">
        <v>45588</v>
      </c>
      <c r="E456" t="s">
        <v>25</v>
      </c>
      <c r="F456">
        <v>16</v>
      </c>
      <c r="G456">
        <v>278</v>
      </c>
      <c r="H456">
        <v>12</v>
      </c>
      <c r="I456">
        <v>1472</v>
      </c>
      <c r="J456">
        <v>753</v>
      </c>
      <c r="K456">
        <v>133</v>
      </c>
      <c r="L456">
        <v>107</v>
      </c>
      <c r="M456">
        <v>1.6745923913043399</v>
      </c>
      <c r="N456" t="s">
        <v>21</v>
      </c>
      <c r="O456">
        <v>0</v>
      </c>
    </row>
    <row r="457" spans="1:15" x14ac:dyDescent="0.35">
      <c r="A457">
        <v>456</v>
      </c>
      <c r="B457" t="s">
        <v>22</v>
      </c>
      <c r="C457" t="s">
        <v>24</v>
      </c>
      <c r="D457" s="1">
        <v>45506</v>
      </c>
      <c r="E457" t="s">
        <v>30</v>
      </c>
      <c r="F457">
        <v>10</v>
      </c>
      <c r="G457">
        <v>90</v>
      </c>
      <c r="H457">
        <v>13</v>
      </c>
      <c r="I457">
        <v>2083</v>
      </c>
      <c r="J457">
        <v>285</v>
      </c>
      <c r="K457">
        <v>409</v>
      </c>
      <c r="L457">
        <v>352</v>
      </c>
      <c r="M457">
        <v>1.5021603456553001</v>
      </c>
      <c r="N457" t="s">
        <v>23</v>
      </c>
      <c r="O457">
        <v>0</v>
      </c>
    </row>
    <row r="458" spans="1:15" x14ac:dyDescent="0.35">
      <c r="A458">
        <v>457</v>
      </c>
      <c r="B458" t="s">
        <v>26</v>
      </c>
      <c r="C458" t="s">
        <v>19</v>
      </c>
      <c r="D458" s="1">
        <v>45554</v>
      </c>
      <c r="E458" t="s">
        <v>27</v>
      </c>
      <c r="F458">
        <v>23</v>
      </c>
      <c r="G458">
        <v>131</v>
      </c>
      <c r="H458">
        <v>6</v>
      </c>
      <c r="I458">
        <v>2498</v>
      </c>
      <c r="J458">
        <v>723</v>
      </c>
      <c r="K458">
        <v>562</v>
      </c>
      <c r="L458">
        <v>322</v>
      </c>
      <c r="M458">
        <v>1.6433146517213699</v>
      </c>
      <c r="N458" t="s">
        <v>21</v>
      </c>
      <c r="O458">
        <v>0</v>
      </c>
    </row>
    <row r="459" spans="1:15" x14ac:dyDescent="0.35">
      <c r="A459">
        <v>458</v>
      </c>
      <c r="B459" t="s">
        <v>15</v>
      </c>
      <c r="C459" t="s">
        <v>19</v>
      </c>
      <c r="D459" s="1">
        <v>45399</v>
      </c>
      <c r="E459" t="s">
        <v>25</v>
      </c>
      <c r="F459">
        <v>11</v>
      </c>
      <c r="G459">
        <v>277</v>
      </c>
      <c r="H459">
        <v>17</v>
      </c>
      <c r="I459">
        <v>2430</v>
      </c>
      <c r="J459">
        <v>708</v>
      </c>
      <c r="K459">
        <v>355</v>
      </c>
      <c r="L459">
        <v>689</v>
      </c>
      <c r="M459">
        <v>1.7209876543209801</v>
      </c>
      <c r="N459" t="s">
        <v>21</v>
      </c>
      <c r="O459">
        <v>0</v>
      </c>
    </row>
    <row r="460" spans="1:15" x14ac:dyDescent="0.35">
      <c r="A460">
        <v>459</v>
      </c>
      <c r="B460" t="s">
        <v>22</v>
      </c>
      <c r="C460" t="s">
        <v>19</v>
      </c>
      <c r="D460" s="1">
        <v>45457</v>
      </c>
      <c r="E460" t="s">
        <v>30</v>
      </c>
      <c r="F460">
        <v>19</v>
      </c>
      <c r="G460">
        <v>293</v>
      </c>
      <c r="H460">
        <v>9</v>
      </c>
      <c r="I460">
        <v>995</v>
      </c>
      <c r="J460">
        <v>784</v>
      </c>
      <c r="K460">
        <v>362</v>
      </c>
      <c r="L460">
        <v>576</v>
      </c>
      <c r="M460">
        <v>2.7306532663316498</v>
      </c>
      <c r="N460" t="s">
        <v>18</v>
      </c>
      <c r="O460">
        <v>0</v>
      </c>
    </row>
    <row r="461" spans="1:15" x14ac:dyDescent="0.35">
      <c r="A461">
        <v>460</v>
      </c>
      <c r="B461" t="s">
        <v>22</v>
      </c>
      <c r="C461" t="s">
        <v>16</v>
      </c>
      <c r="D461" s="1">
        <v>45508</v>
      </c>
      <c r="E461" t="s">
        <v>20</v>
      </c>
      <c r="F461">
        <v>7</v>
      </c>
      <c r="G461">
        <v>48</v>
      </c>
      <c r="H461">
        <v>6</v>
      </c>
      <c r="I461">
        <v>154</v>
      </c>
      <c r="J461">
        <v>540</v>
      </c>
      <c r="K461">
        <v>111</v>
      </c>
      <c r="L461">
        <v>26</v>
      </c>
      <c r="M461">
        <v>5.3961038961038899</v>
      </c>
      <c r="N461" t="s">
        <v>18</v>
      </c>
      <c r="O461">
        <v>0</v>
      </c>
    </row>
    <row r="462" spans="1:15" x14ac:dyDescent="0.35">
      <c r="A462">
        <v>461</v>
      </c>
      <c r="B462" t="s">
        <v>15</v>
      </c>
      <c r="C462" t="s">
        <v>19</v>
      </c>
      <c r="D462" s="1">
        <v>45428</v>
      </c>
      <c r="E462" t="s">
        <v>27</v>
      </c>
      <c r="F462">
        <v>15</v>
      </c>
      <c r="G462">
        <v>124</v>
      </c>
      <c r="H462">
        <v>17</v>
      </c>
      <c r="I462">
        <v>1368</v>
      </c>
      <c r="J462">
        <v>298</v>
      </c>
      <c r="K462">
        <v>258</v>
      </c>
      <c r="L462">
        <v>150</v>
      </c>
      <c r="M462">
        <v>1.5160818713450199</v>
      </c>
      <c r="N462" t="s">
        <v>23</v>
      </c>
      <c r="O462">
        <v>0</v>
      </c>
    </row>
    <row r="463" spans="1:15" x14ac:dyDescent="0.35">
      <c r="A463">
        <v>462</v>
      </c>
      <c r="B463" t="s">
        <v>26</v>
      </c>
      <c r="C463" t="s">
        <v>19</v>
      </c>
      <c r="D463" s="1">
        <v>45308</v>
      </c>
      <c r="E463" t="s">
        <v>25</v>
      </c>
      <c r="F463">
        <v>23</v>
      </c>
      <c r="G463">
        <v>134</v>
      </c>
      <c r="H463">
        <v>20</v>
      </c>
      <c r="I463">
        <v>2988</v>
      </c>
      <c r="J463">
        <v>468</v>
      </c>
      <c r="K463">
        <v>106</v>
      </c>
      <c r="L463">
        <v>631</v>
      </c>
      <c r="M463">
        <v>1.4032797858099</v>
      </c>
      <c r="N463" t="s">
        <v>23</v>
      </c>
      <c r="O463">
        <v>0</v>
      </c>
    </row>
    <row r="464" spans="1:15" x14ac:dyDescent="0.35">
      <c r="A464">
        <v>463</v>
      </c>
      <c r="B464" t="s">
        <v>26</v>
      </c>
      <c r="C464" t="s">
        <v>19</v>
      </c>
      <c r="D464" s="1">
        <v>45579</v>
      </c>
      <c r="E464" t="s">
        <v>29</v>
      </c>
      <c r="F464">
        <v>7</v>
      </c>
      <c r="G464">
        <v>215</v>
      </c>
      <c r="H464">
        <v>12</v>
      </c>
      <c r="I464">
        <v>3235</v>
      </c>
      <c r="J464">
        <v>248</v>
      </c>
      <c r="K464">
        <v>525</v>
      </c>
      <c r="L464">
        <v>295</v>
      </c>
      <c r="M464">
        <v>1.33013910355486</v>
      </c>
      <c r="N464" t="s">
        <v>23</v>
      </c>
      <c r="O464">
        <v>0</v>
      </c>
    </row>
    <row r="465" spans="1:15" x14ac:dyDescent="0.35">
      <c r="A465">
        <v>464</v>
      </c>
      <c r="B465" t="s">
        <v>26</v>
      </c>
      <c r="C465" t="s">
        <v>24</v>
      </c>
      <c r="D465" s="1">
        <v>45505</v>
      </c>
      <c r="E465" t="s">
        <v>27</v>
      </c>
      <c r="F465">
        <v>12</v>
      </c>
      <c r="G465">
        <v>246</v>
      </c>
      <c r="H465">
        <v>7</v>
      </c>
      <c r="I465">
        <v>2611</v>
      </c>
      <c r="J465">
        <v>570</v>
      </c>
      <c r="K465">
        <v>57</v>
      </c>
      <c r="L465">
        <v>14</v>
      </c>
      <c r="M465">
        <v>1.24549980850248</v>
      </c>
      <c r="N465" t="s">
        <v>23</v>
      </c>
      <c r="O465">
        <v>0</v>
      </c>
    </row>
    <row r="466" spans="1:15" x14ac:dyDescent="0.35">
      <c r="A466">
        <v>465</v>
      </c>
      <c r="B466" t="s">
        <v>22</v>
      </c>
      <c r="C466" t="s">
        <v>24</v>
      </c>
      <c r="D466" s="1">
        <v>45480</v>
      </c>
      <c r="E466" t="s">
        <v>20</v>
      </c>
      <c r="F466">
        <v>11</v>
      </c>
      <c r="G466">
        <v>58</v>
      </c>
      <c r="H466">
        <v>5</v>
      </c>
      <c r="I466">
        <v>4870</v>
      </c>
      <c r="J466">
        <v>564</v>
      </c>
      <c r="K466">
        <v>203</v>
      </c>
      <c r="L466">
        <v>199</v>
      </c>
      <c r="M466">
        <v>1.1983572895277199</v>
      </c>
      <c r="N466" t="s">
        <v>23</v>
      </c>
      <c r="O466">
        <v>0</v>
      </c>
    </row>
    <row r="467" spans="1:15" x14ac:dyDescent="0.35">
      <c r="A467">
        <v>466</v>
      </c>
      <c r="B467" t="s">
        <v>22</v>
      </c>
      <c r="C467" t="s">
        <v>24</v>
      </c>
      <c r="D467" s="1">
        <v>45380</v>
      </c>
      <c r="E467" t="s">
        <v>30</v>
      </c>
      <c r="F467">
        <v>23</v>
      </c>
      <c r="G467">
        <v>155</v>
      </c>
      <c r="H467">
        <v>4</v>
      </c>
      <c r="I467">
        <v>4259</v>
      </c>
      <c r="J467">
        <v>127</v>
      </c>
      <c r="K467">
        <v>388</v>
      </c>
      <c r="L467">
        <v>42</v>
      </c>
      <c r="M467">
        <v>1.1307818736792601</v>
      </c>
      <c r="N467" t="s">
        <v>23</v>
      </c>
      <c r="O467">
        <v>0</v>
      </c>
    </row>
    <row r="468" spans="1:15" x14ac:dyDescent="0.35">
      <c r="A468">
        <v>467</v>
      </c>
      <c r="B468" t="s">
        <v>22</v>
      </c>
      <c r="C468" t="s">
        <v>19</v>
      </c>
      <c r="D468" s="1">
        <v>45374</v>
      </c>
      <c r="E468" t="s">
        <v>28</v>
      </c>
      <c r="F468">
        <v>10</v>
      </c>
      <c r="G468">
        <v>40</v>
      </c>
      <c r="H468">
        <v>4</v>
      </c>
      <c r="I468">
        <v>4834</v>
      </c>
      <c r="J468">
        <v>266</v>
      </c>
      <c r="K468">
        <v>7</v>
      </c>
      <c r="L468">
        <v>339</v>
      </c>
      <c r="M468">
        <v>1.12660322714108</v>
      </c>
      <c r="N468" t="s">
        <v>23</v>
      </c>
      <c r="O468">
        <v>0</v>
      </c>
    </row>
    <row r="469" spans="1:15" x14ac:dyDescent="0.35">
      <c r="A469">
        <v>468</v>
      </c>
      <c r="B469" t="s">
        <v>26</v>
      </c>
      <c r="C469" t="s">
        <v>19</v>
      </c>
      <c r="D469" s="1">
        <v>45457</v>
      </c>
      <c r="E469" t="s">
        <v>30</v>
      </c>
      <c r="F469">
        <v>17</v>
      </c>
      <c r="G469">
        <v>57</v>
      </c>
      <c r="H469">
        <v>10</v>
      </c>
      <c r="I469">
        <v>4939</v>
      </c>
      <c r="J469">
        <v>57</v>
      </c>
      <c r="K469">
        <v>310</v>
      </c>
      <c r="L469">
        <v>503</v>
      </c>
      <c r="M469">
        <v>1.17614901801984</v>
      </c>
      <c r="N469" t="s">
        <v>23</v>
      </c>
      <c r="O469">
        <v>0</v>
      </c>
    </row>
    <row r="470" spans="1:15" x14ac:dyDescent="0.35">
      <c r="A470">
        <v>469</v>
      </c>
      <c r="B470" t="s">
        <v>26</v>
      </c>
      <c r="C470" t="s">
        <v>16</v>
      </c>
      <c r="D470" s="1">
        <v>45561</v>
      </c>
      <c r="E470" t="s">
        <v>27</v>
      </c>
      <c r="F470">
        <v>19</v>
      </c>
      <c r="G470">
        <v>298</v>
      </c>
      <c r="H470">
        <v>17</v>
      </c>
      <c r="I470">
        <v>1851</v>
      </c>
      <c r="J470">
        <v>193</v>
      </c>
      <c r="K470">
        <v>535</v>
      </c>
      <c r="L470">
        <v>70</v>
      </c>
      <c r="M470">
        <v>1.43111831442463</v>
      </c>
      <c r="N470" t="s">
        <v>23</v>
      </c>
      <c r="O470">
        <v>0</v>
      </c>
    </row>
    <row r="471" spans="1:15" x14ac:dyDescent="0.35">
      <c r="A471">
        <v>470</v>
      </c>
      <c r="B471" t="s">
        <v>26</v>
      </c>
      <c r="C471" t="s">
        <v>24</v>
      </c>
      <c r="D471" s="1">
        <v>45498</v>
      </c>
      <c r="E471" t="s">
        <v>27</v>
      </c>
      <c r="F471">
        <v>16</v>
      </c>
      <c r="G471">
        <v>204</v>
      </c>
      <c r="H471">
        <v>9</v>
      </c>
      <c r="I471">
        <v>803</v>
      </c>
      <c r="J471">
        <v>362</v>
      </c>
      <c r="K471">
        <v>228</v>
      </c>
      <c r="L471">
        <v>219</v>
      </c>
      <c r="M471">
        <v>2.0074719800747198</v>
      </c>
      <c r="N471" t="s">
        <v>21</v>
      </c>
      <c r="O471">
        <v>0</v>
      </c>
    </row>
    <row r="472" spans="1:15" x14ac:dyDescent="0.35">
      <c r="A472">
        <v>471</v>
      </c>
      <c r="B472" t="s">
        <v>15</v>
      </c>
      <c r="C472" t="s">
        <v>16</v>
      </c>
      <c r="D472" s="1">
        <v>45403</v>
      </c>
      <c r="E472" t="s">
        <v>20</v>
      </c>
      <c r="F472">
        <v>17</v>
      </c>
      <c r="G472">
        <v>248</v>
      </c>
      <c r="H472">
        <v>7</v>
      </c>
      <c r="I472">
        <v>4395</v>
      </c>
      <c r="J472">
        <v>491</v>
      </c>
      <c r="K472">
        <v>576</v>
      </c>
      <c r="L472">
        <v>665</v>
      </c>
      <c r="M472">
        <v>1.3940841865756499</v>
      </c>
      <c r="N472" t="s">
        <v>23</v>
      </c>
      <c r="O472">
        <v>0</v>
      </c>
    </row>
    <row r="473" spans="1:15" x14ac:dyDescent="0.35">
      <c r="A473">
        <v>472</v>
      </c>
      <c r="B473" t="s">
        <v>15</v>
      </c>
      <c r="C473" t="s">
        <v>24</v>
      </c>
      <c r="D473" s="1">
        <v>45416</v>
      </c>
      <c r="E473" t="s">
        <v>28</v>
      </c>
      <c r="F473">
        <v>14</v>
      </c>
      <c r="G473">
        <v>296</v>
      </c>
      <c r="H473">
        <v>9</v>
      </c>
      <c r="I473">
        <v>376</v>
      </c>
      <c r="J473">
        <v>703</v>
      </c>
      <c r="K473">
        <v>330</v>
      </c>
      <c r="L473">
        <v>391</v>
      </c>
      <c r="M473">
        <v>4.7872340425531901</v>
      </c>
      <c r="N473" t="s">
        <v>18</v>
      </c>
      <c r="O473">
        <v>0</v>
      </c>
    </row>
    <row r="474" spans="1:15" x14ac:dyDescent="0.35">
      <c r="A474">
        <v>473</v>
      </c>
      <c r="B474" t="s">
        <v>26</v>
      </c>
      <c r="C474" t="s">
        <v>24</v>
      </c>
      <c r="D474" s="1">
        <v>45304</v>
      </c>
      <c r="E474" t="s">
        <v>28</v>
      </c>
      <c r="F474">
        <v>21</v>
      </c>
      <c r="G474">
        <v>42</v>
      </c>
      <c r="H474">
        <v>9</v>
      </c>
      <c r="I474">
        <v>4284</v>
      </c>
      <c r="J474">
        <v>793</v>
      </c>
      <c r="K474">
        <v>385</v>
      </c>
      <c r="L474">
        <v>527</v>
      </c>
      <c r="M474">
        <v>1.3979925303454701</v>
      </c>
      <c r="N474" t="s">
        <v>23</v>
      </c>
      <c r="O474">
        <v>0</v>
      </c>
    </row>
    <row r="475" spans="1:15" x14ac:dyDescent="0.35">
      <c r="A475">
        <v>474</v>
      </c>
      <c r="B475" t="s">
        <v>15</v>
      </c>
      <c r="C475" t="s">
        <v>19</v>
      </c>
      <c r="D475" s="1">
        <v>45390</v>
      </c>
      <c r="E475" t="s">
        <v>29</v>
      </c>
      <c r="F475">
        <v>23</v>
      </c>
      <c r="G475">
        <v>23</v>
      </c>
      <c r="H475">
        <v>20</v>
      </c>
      <c r="I475">
        <v>2674</v>
      </c>
      <c r="J475">
        <v>531</v>
      </c>
      <c r="K475">
        <v>86</v>
      </c>
      <c r="L475">
        <v>99</v>
      </c>
      <c r="M475">
        <v>1.2677636499625999</v>
      </c>
      <c r="N475" t="s">
        <v>23</v>
      </c>
      <c r="O475">
        <v>0</v>
      </c>
    </row>
    <row r="476" spans="1:15" x14ac:dyDescent="0.35">
      <c r="A476">
        <v>475</v>
      </c>
      <c r="B476" t="s">
        <v>15</v>
      </c>
      <c r="C476" t="s">
        <v>16</v>
      </c>
      <c r="D476" s="1">
        <v>45325</v>
      </c>
      <c r="E476" t="s">
        <v>28</v>
      </c>
      <c r="F476">
        <v>23</v>
      </c>
      <c r="G476">
        <v>242</v>
      </c>
      <c r="H476">
        <v>20</v>
      </c>
      <c r="I476">
        <v>1776</v>
      </c>
      <c r="J476">
        <v>691</v>
      </c>
      <c r="K476">
        <v>220</v>
      </c>
      <c r="L476">
        <v>435</v>
      </c>
      <c r="M476">
        <v>1.7578828828828801</v>
      </c>
      <c r="N476" t="s">
        <v>21</v>
      </c>
      <c r="O476">
        <v>0</v>
      </c>
    </row>
    <row r="477" spans="1:15" x14ac:dyDescent="0.35">
      <c r="A477">
        <v>476</v>
      </c>
      <c r="B477" t="s">
        <v>15</v>
      </c>
      <c r="C477" t="s">
        <v>16</v>
      </c>
      <c r="D477" s="1">
        <v>45328</v>
      </c>
      <c r="E477" t="s">
        <v>17</v>
      </c>
      <c r="F477">
        <v>8</v>
      </c>
      <c r="G477">
        <v>47</v>
      </c>
      <c r="H477">
        <v>5</v>
      </c>
      <c r="I477">
        <v>1309</v>
      </c>
      <c r="J477">
        <v>29</v>
      </c>
      <c r="K477">
        <v>472</v>
      </c>
      <c r="L477">
        <v>340</v>
      </c>
      <c r="M477">
        <v>1.6424751718869299</v>
      </c>
      <c r="N477" t="s">
        <v>21</v>
      </c>
      <c r="O477">
        <v>0</v>
      </c>
    </row>
    <row r="478" spans="1:15" x14ac:dyDescent="0.35">
      <c r="A478">
        <v>477</v>
      </c>
      <c r="B478" t="s">
        <v>22</v>
      </c>
      <c r="C478" t="s">
        <v>24</v>
      </c>
      <c r="D478" s="1">
        <v>45420</v>
      </c>
      <c r="E478" t="s">
        <v>25</v>
      </c>
      <c r="F478">
        <v>18</v>
      </c>
      <c r="G478">
        <v>250</v>
      </c>
      <c r="H478">
        <v>20</v>
      </c>
      <c r="I478">
        <v>4621</v>
      </c>
      <c r="J478">
        <v>77</v>
      </c>
      <c r="K478">
        <v>590</v>
      </c>
      <c r="L478">
        <v>234</v>
      </c>
      <c r="M478">
        <v>1.19497944167929</v>
      </c>
      <c r="N478" t="s">
        <v>23</v>
      </c>
      <c r="O478">
        <v>0</v>
      </c>
    </row>
    <row r="479" spans="1:15" x14ac:dyDescent="0.35">
      <c r="A479">
        <v>478</v>
      </c>
      <c r="B479" t="s">
        <v>26</v>
      </c>
      <c r="C479" t="s">
        <v>16</v>
      </c>
      <c r="D479" s="1">
        <v>45499</v>
      </c>
      <c r="E479" t="s">
        <v>30</v>
      </c>
      <c r="F479">
        <v>23</v>
      </c>
      <c r="G479">
        <v>23</v>
      </c>
      <c r="H479">
        <v>20</v>
      </c>
      <c r="I479">
        <v>3597</v>
      </c>
      <c r="J479">
        <v>328</v>
      </c>
      <c r="K479">
        <v>19</v>
      </c>
      <c r="L479">
        <v>399</v>
      </c>
      <c r="M479">
        <v>1.20739505143174</v>
      </c>
      <c r="N479" t="s">
        <v>23</v>
      </c>
      <c r="O479">
        <v>0</v>
      </c>
    </row>
    <row r="480" spans="1:15" x14ac:dyDescent="0.35">
      <c r="A480">
        <v>479</v>
      </c>
      <c r="B480" t="s">
        <v>26</v>
      </c>
      <c r="C480" t="s">
        <v>16</v>
      </c>
      <c r="D480" s="1">
        <v>45324</v>
      </c>
      <c r="E480" t="s">
        <v>30</v>
      </c>
      <c r="F480">
        <v>15</v>
      </c>
      <c r="G480">
        <v>174</v>
      </c>
      <c r="H480">
        <v>19</v>
      </c>
      <c r="I480">
        <v>4847</v>
      </c>
      <c r="J480">
        <v>51</v>
      </c>
      <c r="K480">
        <v>76</v>
      </c>
      <c r="L480">
        <v>367</v>
      </c>
      <c r="M480">
        <v>1.1019187126057299</v>
      </c>
      <c r="N480" t="s">
        <v>23</v>
      </c>
      <c r="O480">
        <v>0</v>
      </c>
    </row>
    <row r="481" spans="1:15" x14ac:dyDescent="0.35">
      <c r="A481">
        <v>480</v>
      </c>
      <c r="B481" t="s">
        <v>22</v>
      </c>
      <c r="C481" t="s">
        <v>19</v>
      </c>
      <c r="D481" s="1">
        <v>45336</v>
      </c>
      <c r="E481" t="s">
        <v>25</v>
      </c>
      <c r="F481">
        <v>6</v>
      </c>
      <c r="G481">
        <v>262</v>
      </c>
      <c r="H481">
        <v>5</v>
      </c>
      <c r="I481">
        <v>2356</v>
      </c>
      <c r="J481">
        <v>788</v>
      </c>
      <c r="K481">
        <v>450</v>
      </c>
      <c r="L481">
        <v>391</v>
      </c>
      <c r="M481">
        <v>1.69142614601018</v>
      </c>
      <c r="N481" t="s">
        <v>21</v>
      </c>
      <c r="O481">
        <v>0</v>
      </c>
    </row>
    <row r="482" spans="1:15" x14ac:dyDescent="0.35">
      <c r="A482">
        <v>481</v>
      </c>
      <c r="B482" t="s">
        <v>22</v>
      </c>
      <c r="C482" t="s">
        <v>19</v>
      </c>
      <c r="D482" s="1">
        <v>45565</v>
      </c>
      <c r="E482" t="s">
        <v>29</v>
      </c>
      <c r="F482">
        <v>10</v>
      </c>
      <c r="G482">
        <v>172</v>
      </c>
      <c r="H482">
        <v>20</v>
      </c>
      <c r="I482">
        <v>1851</v>
      </c>
      <c r="J482">
        <v>144</v>
      </c>
      <c r="K482">
        <v>402</v>
      </c>
      <c r="L482">
        <v>559</v>
      </c>
      <c r="M482">
        <v>1.59697460831982</v>
      </c>
      <c r="N482" t="s">
        <v>23</v>
      </c>
      <c r="O482">
        <v>0</v>
      </c>
    </row>
    <row r="483" spans="1:15" x14ac:dyDescent="0.35">
      <c r="A483">
        <v>482</v>
      </c>
      <c r="B483" t="s">
        <v>15</v>
      </c>
      <c r="C483" t="s">
        <v>16</v>
      </c>
      <c r="D483" s="1">
        <v>45483</v>
      </c>
      <c r="E483" t="s">
        <v>25</v>
      </c>
      <c r="F483">
        <v>6</v>
      </c>
      <c r="G483">
        <v>221</v>
      </c>
      <c r="H483">
        <v>17</v>
      </c>
      <c r="I483">
        <v>141</v>
      </c>
      <c r="J483">
        <v>571</v>
      </c>
      <c r="K483">
        <v>570</v>
      </c>
      <c r="L483">
        <v>145</v>
      </c>
      <c r="M483">
        <v>10.1205673758865</v>
      </c>
      <c r="N483" t="s">
        <v>18</v>
      </c>
      <c r="O483">
        <v>1</v>
      </c>
    </row>
    <row r="484" spans="1:15" x14ac:dyDescent="0.35">
      <c r="A484">
        <v>483</v>
      </c>
      <c r="B484" t="s">
        <v>15</v>
      </c>
      <c r="C484" t="s">
        <v>24</v>
      </c>
      <c r="D484" s="1">
        <v>45572</v>
      </c>
      <c r="E484" t="s">
        <v>29</v>
      </c>
      <c r="F484">
        <v>22</v>
      </c>
      <c r="G484">
        <v>92</v>
      </c>
      <c r="H484">
        <v>5</v>
      </c>
      <c r="I484">
        <v>747</v>
      </c>
      <c r="J484">
        <v>317</v>
      </c>
      <c r="K484">
        <v>217</v>
      </c>
      <c r="L484">
        <v>353</v>
      </c>
      <c r="M484">
        <v>2.18741633199464</v>
      </c>
      <c r="N484" t="s">
        <v>21</v>
      </c>
      <c r="O484">
        <v>0</v>
      </c>
    </row>
    <row r="485" spans="1:15" x14ac:dyDescent="0.35">
      <c r="A485">
        <v>484</v>
      </c>
      <c r="B485" t="s">
        <v>15</v>
      </c>
      <c r="C485" t="s">
        <v>16</v>
      </c>
      <c r="D485" s="1">
        <v>45386</v>
      </c>
      <c r="E485" t="s">
        <v>27</v>
      </c>
      <c r="F485">
        <v>7</v>
      </c>
      <c r="G485">
        <v>256</v>
      </c>
      <c r="H485">
        <v>20</v>
      </c>
      <c r="I485">
        <v>1858</v>
      </c>
      <c r="J485">
        <v>636</v>
      </c>
      <c r="K485">
        <v>260</v>
      </c>
      <c r="L485">
        <v>199</v>
      </c>
      <c r="M485">
        <v>1.58934337997847</v>
      </c>
      <c r="N485" t="s">
        <v>23</v>
      </c>
      <c r="O485">
        <v>0</v>
      </c>
    </row>
    <row r="486" spans="1:15" x14ac:dyDescent="0.35">
      <c r="A486">
        <v>485</v>
      </c>
      <c r="B486" t="s">
        <v>15</v>
      </c>
      <c r="C486" t="s">
        <v>16</v>
      </c>
      <c r="D486" s="1">
        <v>45573</v>
      </c>
      <c r="E486" t="s">
        <v>17</v>
      </c>
      <c r="F486">
        <v>21</v>
      </c>
      <c r="G486">
        <v>189</v>
      </c>
      <c r="H486">
        <v>11</v>
      </c>
      <c r="I486">
        <v>649</v>
      </c>
      <c r="J486">
        <v>302</v>
      </c>
      <c r="K486">
        <v>70</v>
      </c>
      <c r="L486">
        <v>257</v>
      </c>
      <c r="M486">
        <v>1.9691833590138601</v>
      </c>
      <c r="N486" t="s">
        <v>21</v>
      </c>
      <c r="O486">
        <v>0</v>
      </c>
    </row>
    <row r="487" spans="1:15" x14ac:dyDescent="0.35">
      <c r="A487">
        <v>486</v>
      </c>
      <c r="B487" t="s">
        <v>15</v>
      </c>
      <c r="C487" t="s">
        <v>16</v>
      </c>
      <c r="D487" s="1">
        <v>45357</v>
      </c>
      <c r="E487" t="s">
        <v>25</v>
      </c>
      <c r="F487">
        <v>16</v>
      </c>
      <c r="G487">
        <v>268</v>
      </c>
      <c r="H487">
        <v>14</v>
      </c>
      <c r="I487">
        <v>1971</v>
      </c>
      <c r="J487">
        <v>107</v>
      </c>
      <c r="K487">
        <v>293</v>
      </c>
      <c r="L487">
        <v>635</v>
      </c>
      <c r="M487">
        <v>1.52511415525114</v>
      </c>
      <c r="N487" t="s">
        <v>23</v>
      </c>
      <c r="O487">
        <v>0</v>
      </c>
    </row>
    <row r="488" spans="1:15" x14ac:dyDescent="0.35">
      <c r="A488">
        <v>487</v>
      </c>
      <c r="B488" t="s">
        <v>26</v>
      </c>
      <c r="C488" t="s">
        <v>19</v>
      </c>
      <c r="D488" s="1">
        <v>45460</v>
      </c>
      <c r="E488" t="s">
        <v>29</v>
      </c>
      <c r="F488">
        <v>17</v>
      </c>
      <c r="G488">
        <v>181</v>
      </c>
      <c r="H488">
        <v>13</v>
      </c>
      <c r="I488">
        <v>2554</v>
      </c>
      <c r="J488">
        <v>715</v>
      </c>
      <c r="K488">
        <v>600</v>
      </c>
      <c r="L488">
        <v>157</v>
      </c>
      <c r="M488">
        <v>1.5763508222396201</v>
      </c>
      <c r="N488" t="s">
        <v>23</v>
      </c>
      <c r="O488">
        <v>0</v>
      </c>
    </row>
    <row r="489" spans="1:15" x14ac:dyDescent="0.35">
      <c r="A489">
        <v>488</v>
      </c>
      <c r="B489" t="s">
        <v>26</v>
      </c>
      <c r="C489" t="s">
        <v>19</v>
      </c>
      <c r="D489" s="1">
        <v>45378</v>
      </c>
      <c r="E489" t="s">
        <v>25</v>
      </c>
      <c r="F489">
        <v>19</v>
      </c>
      <c r="G489">
        <v>161</v>
      </c>
      <c r="H489">
        <v>11</v>
      </c>
      <c r="I489">
        <v>89</v>
      </c>
      <c r="J489">
        <v>325</v>
      </c>
      <c r="K489">
        <v>254</v>
      </c>
      <c r="L489">
        <v>227</v>
      </c>
      <c r="M489">
        <v>10.056179775280899</v>
      </c>
      <c r="N489" t="s">
        <v>18</v>
      </c>
      <c r="O489">
        <v>0</v>
      </c>
    </row>
    <row r="490" spans="1:15" x14ac:dyDescent="0.35">
      <c r="A490">
        <v>489</v>
      </c>
      <c r="B490" t="s">
        <v>22</v>
      </c>
      <c r="C490" t="s">
        <v>24</v>
      </c>
      <c r="D490" s="1">
        <v>45360</v>
      </c>
      <c r="E490" t="s">
        <v>28</v>
      </c>
      <c r="F490">
        <v>21</v>
      </c>
      <c r="G490">
        <v>75</v>
      </c>
      <c r="H490">
        <v>5</v>
      </c>
      <c r="I490">
        <v>2766</v>
      </c>
      <c r="J490">
        <v>496</v>
      </c>
      <c r="K490">
        <v>475</v>
      </c>
      <c r="L490">
        <v>457</v>
      </c>
      <c r="M490">
        <v>1.51626898047722</v>
      </c>
      <c r="N490" t="s">
        <v>23</v>
      </c>
      <c r="O490">
        <v>0</v>
      </c>
    </row>
    <row r="491" spans="1:15" x14ac:dyDescent="0.35">
      <c r="A491">
        <v>490</v>
      </c>
      <c r="B491" t="s">
        <v>22</v>
      </c>
      <c r="C491" t="s">
        <v>19</v>
      </c>
      <c r="D491" s="1">
        <v>45333</v>
      </c>
      <c r="E491" t="s">
        <v>20</v>
      </c>
      <c r="F491">
        <v>8</v>
      </c>
      <c r="G491">
        <v>58</v>
      </c>
      <c r="H491">
        <v>0</v>
      </c>
      <c r="I491">
        <v>2348</v>
      </c>
      <c r="J491">
        <v>148</v>
      </c>
      <c r="K491">
        <v>553</v>
      </c>
      <c r="L491">
        <v>202</v>
      </c>
      <c r="M491">
        <v>1.3845826235093599</v>
      </c>
      <c r="N491" t="s">
        <v>23</v>
      </c>
      <c r="O491">
        <v>0</v>
      </c>
    </row>
    <row r="492" spans="1:15" x14ac:dyDescent="0.35">
      <c r="A492">
        <v>491</v>
      </c>
      <c r="B492" t="s">
        <v>26</v>
      </c>
      <c r="C492" t="s">
        <v>16</v>
      </c>
      <c r="D492" s="1">
        <v>45551</v>
      </c>
      <c r="E492" t="s">
        <v>29</v>
      </c>
      <c r="F492">
        <v>7</v>
      </c>
      <c r="G492">
        <v>153</v>
      </c>
      <c r="H492">
        <v>17</v>
      </c>
      <c r="I492">
        <v>305</v>
      </c>
      <c r="J492">
        <v>600</v>
      </c>
      <c r="K492">
        <v>594</v>
      </c>
      <c r="L492">
        <v>415</v>
      </c>
      <c r="M492">
        <v>6.2754098360655703</v>
      </c>
      <c r="N492" t="s">
        <v>18</v>
      </c>
      <c r="O492">
        <v>1</v>
      </c>
    </row>
    <row r="493" spans="1:15" x14ac:dyDescent="0.35">
      <c r="A493">
        <v>492</v>
      </c>
      <c r="B493" t="s">
        <v>22</v>
      </c>
      <c r="C493" t="s">
        <v>16</v>
      </c>
      <c r="D493" s="1">
        <v>45568</v>
      </c>
      <c r="E493" t="s">
        <v>27</v>
      </c>
      <c r="F493">
        <v>15</v>
      </c>
      <c r="G493">
        <v>88</v>
      </c>
      <c r="H493">
        <v>14</v>
      </c>
      <c r="I493">
        <v>3917</v>
      </c>
      <c r="J493">
        <v>674</v>
      </c>
      <c r="K493">
        <v>154</v>
      </c>
      <c r="L493">
        <v>375</v>
      </c>
      <c r="M493">
        <v>1.30712279805973</v>
      </c>
      <c r="N493" t="s">
        <v>23</v>
      </c>
      <c r="O493">
        <v>0</v>
      </c>
    </row>
    <row r="494" spans="1:15" x14ac:dyDescent="0.35">
      <c r="A494">
        <v>493</v>
      </c>
      <c r="B494" t="s">
        <v>26</v>
      </c>
      <c r="C494" t="s">
        <v>16</v>
      </c>
      <c r="D494" s="1">
        <v>45548</v>
      </c>
      <c r="E494" t="s">
        <v>30</v>
      </c>
      <c r="F494">
        <v>13</v>
      </c>
      <c r="G494">
        <v>104</v>
      </c>
      <c r="H494">
        <v>16</v>
      </c>
      <c r="I494">
        <v>4231</v>
      </c>
      <c r="J494">
        <v>97</v>
      </c>
      <c r="K494">
        <v>408</v>
      </c>
      <c r="L494">
        <v>373</v>
      </c>
      <c r="M494">
        <v>1.20751595367525</v>
      </c>
      <c r="N494" t="s">
        <v>23</v>
      </c>
      <c r="O494">
        <v>0</v>
      </c>
    </row>
    <row r="495" spans="1:15" x14ac:dyDescent="0.35">
      <c r="A495">
        <v>494</v>
      </c>
      <c r="B495" t="s">
        <v>26</v>
      </c>
      <c r="C495" t="s">
        <v>19</v>
      </c>
      <c r="D495" s="1">
        <v>45363</v>
      </c>
      <c r="E495" t="s">
        <v>17</v>
      </c>
      <c r="F495">
        <v>10</v>
      </c>
      <c r="G495">
        <v>267</v>
      </c>
      <c r="H495">
        <v>11</v>
      </c>
      <c r="I495">
        <v>3705</v>
      </c>
      <c r="J495">
        <v>168</v>
      </c>
      <c r="K495">
        <v>185</v>
      </c>
      <c r="L495">
        <v>580</v>
      </c>
      <c r="M495">
        <v>1.2518218623481701</v>
      </c>
      <c r="N495" t="s">
        <v>23</v>
      </c>
      <c r="O495">
        <v>0</v>
      </c>
    </row>
    <row r="496" spans="1:15" x14ac:dyDescent="0.35">
      <c r="A496">
        <v>495</v>
      </c>
      <c r="B496" t="s">
        <v>15</v>
      </c>
      <c r="C496" t="s">
        <v>24</v>
      </c>
      <c r="D496" s="1">
        <v>45312</v>
      </c>
      <c r="E496" t="s">
        <v>20</v>
      </c>
      <c r="F496">
        <v>17</v>
      </c>
      <c r="G496">
        <v>139</v>
      </c>
      <c r="H496">
        <v>1</v>
      </c>
      <c r="I496">
        <v>1842</v>
      </c>
      <c r="J496">
        <v>784</v>
      </c>
      <c r="K496">
        <v>501</v>
      </c>
      <c r="L496">
        <v>238</v>
      </c>
      <c r="M496">
        <v>1.8268186753528699</v>
      </c>
      <c r="N496" t="s">
        <v>21</v>
      </c>
      <c r="O496">
        <v>0</v>
      </c>
    </row>
    <row r="497" spans="1:15" x14ac:dyDescent="0.35">
      <c r="A497">
        <v>496</v>
      </c>
      <c r="B497" t="s">
        <v>22</v>
      </c>
      <c r="C497" t="s">
        <v>16</v>
      </c>
      <c r="D497" s="1">
        <v>45397</v>
      </c>
      <c r="E497" t="s">
        <v>29</v>
      </c>
      <c r="F497">
        <v>7</v>
      </c>
      <c r="G497">
        <v>185</v>
      </c>
      <c r="H497">
        <v>3</v>
      </c>
      <c r="I497">
        <v>4292</v>
      </c>
      <c r="J497">
        <v>374</v>
      </c>
      <c r="K497">
        <v>399</v>
      </c>
      <c r="L497">
        <v>481</v>
      </c>
      <c r="M497">
        <v>1.2921714818266501</v>
      </c>
      <c r="N497" t="s">
        <v>23</v>
      </c>
      <c r="O497">
        <v>0</v>
      </c>
    </row>
    <row r="498" spans="1:15" x14ac:dyDescent="0.35">
      <c r="A498">
        <v>497</v>
      </c>
      <c r="B498" t="s">
        <v>26</v>
      </c>
      <c r="C498" t="s">
        <v>19</v>
      </c>
      <c r="D498" s="1">
        <v>45558</v>
      </c>
      <c r="E498" t="s">
        <v>29</v>
      </c>
      <c r="F498">
        <v>11</v>
      </c>
      <c r="G498">
        <v>212</v>
      </c>
      <c r="H498">
        <v>20</v>
      </c>
      <c r="I498">
        <v>2290</v>
      </c>
      <c r="J498">
        <v>764</v>
      </c>
      <c r="K498">
        <v>271</v>
      </c>
      <c r="L498">
        <v>593</v>
      </c>
      <c r="M498">
        <v>1.71091703056768</v>
      </c>
      <c r="N498" t="s">
        <v>21</v>
      </c>
      <c r="O498">
        <v>0</v>
      </c>
    </row>
    <row r="499" spans="1:15" x14ac:dyDescent="0.35">
      <c r="A499">
        <v>498</v>
      </c>
      <c r="B499" t="s">
        <v>22</v>
      </c>
      <c r="C499" t="s">
        <v>24</v>
      </c>
      <c r="D499" s="1">
        <v>45485</v>
      </c>
      <c r="E499" t="s">
        <v>30</v>
      </c>
      <c r="F499">
        <v>13</v>
      </c>
      <c r="G499">
        <v>284</v>
      </c>
      <c r="H499">
        <v>12</v>
      </c>
      <c r="I499">
        <v>3042</v>
      </c>
      <c r="J499">
        <v>606</v>
      </c>
      <c r="K499">
        <v>81</v>
      </c>
      <c r="L499">
        <v>530</v>
      </c>
      <c r="M499">
        <v>1.40006574621959</v>
      </c>
      <c r="N499" t="s">
        <v>23</v>
      </c>
      <c r="O499">
        <v>0</v>
      </c>
    </row>
    <row r="500" spans="1:15" x14ac:dyDescent="0.35">
      <c r="A500">
        <v>499</v>
      </c>
      <c r="B500" t="s">
        <v>15</v>
      </c>
      <c r="C500" t="s">
        <v>19</v>
      </c>
      <c r="D500" s="1">
        <v>45472</v>
      </c>
      <c r="E500" t="s">
        <v>28</v>
      </c>
      <c r="F500">
        <v>10</v>
      </c>
      <c r="G500">
        <v>245</v>
      </c>
      <c r="H500">
        <v>5</v>
      </c>
      <c r="I500">
        <v>2876</v>
      </c>
      <c r="J500">
        <v>503</v>
      </c>
      <c r="K500">
        <v>495</v>
      </c>
      <c r="L500">
        <v>619</v>
      </c>
      <c r="M500">
        <v>1.5622392211404701</v>
      </c>
      <c r="N500" t="s">
        <v>23</v>
      </c>
      <c r="O500">
        <v>0</v>
      </c>
    </row>
    <row r="501" spans="1:15" x14ac:dyDescent="0.35">
      <c r="A501">
        <v>500</v>
      </c>
      <c r="B501" t="s">
        <v>15</v>
      </c>
      <c r="C501" t="s">
        <v>16</v>
      </c>
      <c r="D501" s="1">
        <v>45409</v>
      </c>
      <c r="E501" t="s">
        <v>28</v>
      </c>
      <c r="F501">
        <v>11</v>
      </c>
      <c r="G501">
        <v>205</v>
      </c>
      <c r="H501">
        <v>19</v>
      </c>
      <c r="I501">
        <v>681</v>
      </c>
      <c r="J501">
        <v>531</v>
      </c>
      <c r="K501">
        <v>289</v>
      </c>
      <c r="L501">
        <v>217</v>
      </c>
      <c r="M501">
        <v>2.5227606461086598</v>
      </c>
      <c r="N501" t="s">
        <v>18</v>
      </c>
      <c r="O501">
        <v>0</v>
      </c>
    </row>
    <row r="502" spans="1:15" x14ac:dyDescent="0.35">
      <c r="A502">
        <v>501</v>
      </c>
      <c r="B502" t="s">
        <v>22</v>
      </c>
      <c r="C502" t="s">
        <v>19</v>
      </c>
      <c r="D502" s="1">
        <v>45352</v>
      </c>
      <c r="E502" t="s">
        <v>30</v>
      </c>
      <c r="F502">
        <v>21</v>
      </c>
      <c r="G502">
        <v>265</v>
      </c>
      <c r="H502">
        <v>6</v>
      </c>
      <c r="I502">
        <v>1936</v>
      </c>
      <c r="J502">
        <v>429</v>
      </c>
      <c r="K502">
        <v>340</v>
      </c>
      <c r="L502">
        <v>117</v>
      </c>
      <c r="M502">
        <v>1.4576446280991699</v>
      </c>
      <c r="N502" t="s">
        <v>23</v>
      </c>
      <c r="O502">
        <v>0</v>
      </c>
    </row>
    <row r="503" spans="1:15" x14ac:dyDescent="0.35">
      <c r="A503">
        <v>502</v>
      </c>
      <c r="B503" t="s">
        <v>15</v>
      </c>
      <c r="C503" t="s">
        <v>19</v>
      </c>
      <c r="D503" s="1">
        <v>45374</v>
      </c>
      <c r="E503" t="s">
        <v>28</v>
      </c>
      <c r="F503">
        <v>11</v>
      </c>
      <c r="G503">
        <v>88</v>
      </c>
      <c r="H503">
        <v>20</v>
      </c>
      <c r="I503">
        <v>3416</v>
      </c>
      <c r="J503">
        <v>27</v>
      </c>
      <c r="K503">
        <v>251</v>
      </c>
      <c r="L503">
        <v>45</v>
      </c>
      <c r="M503">
        <v>1.0945550351288</v>
      </c>
      <c r="N503" t="s">
        <v>23</v>
      </c>
      <c r="O503">
        <v>0</v>
      </c>
    </row>
    <row r="504" spans="1:15" x14ac:dyDescent="0.35">
      <c r="A504">
        <v>503</v>
      </c>
      <c r="B504" t="s">
        <v>15</v>
      </c>
      <c r="C504" t="s">
        <v>24</v>
      </c>
      <c r="D504" s="1">
        <v>45554</v>
      </c>
      <c r="E504" t="s">
        <v>27</v>
      </c>
      <c r="F504">
        <v>11</v>
      </c>
      <c r="G504">
        <v>284</v>
      </c>
      <c r="H504">
        <v>12</v>
      </c>
      <c r="I504">
        <v>371</v>
      </c>
      <c r="J504">
        <v>591</v>
      </c>
      <c r="K504">
        <v>152</v>
      </c>
      <c r="L504">
        <v>58</v>
      </c>
      <c r="M504">
        <v>3.1590296495956798</v>
      </c>
      <c r="N504" t="s">
        <v>18</v>
      </c>
      <c r="O504">
        <v>0</v>
      </c>
    </row>
    <row r="505" spans="1:15" x14ac:dyDescent="0.35">
      <c r="A505">
        <v>504</v>
      </c>
      <c r="B505" t="s">
        <v>15</v>
      </c>
      <c r="C505" t="s">
        <v>24</v>
      </c>
      <c r="D505" s="1">
        <v>45580</v>
      </c>
      <c r="E505" t="s">
        <v>17</v>
      </c>
      <c r="F505">
        <v>21</v>
      </c>
      <c r="G505">
        <v>266</v>
      </c>
      <c r="H505">
        <v>5</v>
      </c>
      <c r="I505">
        <v>202</v>
      </c>
      <c r="J505">
        <v>741</v>
      </c>
      <c r="K505">
        <v>292</v>
      </c>
      <c r="L505">
        <v>88</v>
      </c>
      <c r="M505">
        <v>6.5495049504950398</v>
      </c>
      <c r="N505" t="s">
        <v>18</v>
      </c>
      <c r="O505">
        <v>0</v>
      </c>
    </row>
    <row r="506" spans="1:15" x14ac:dyDescent="0.35">
      <c r="A506">
        <v>505</v>
      </c>
      <c r="B506" t="s">
        <v>15</v>
      </c>
      <c r="C506" t="s">
        <v>19</v>
      </c>
      <c r="D506" s="1">
        <v>45404</v>
      </c>
      <c r="E506" t="s">
        <v>29</v>
      </c>
      <c r="F506">
        <v>22</v>
      </c>
      <c r="G506">
        <v>155</v>
      </c>
      <c r="H506">
        <v>5</v>
      </c>
      <c r="I506">
        <v>3415</v>
      </c>
      <c r="J506">
        <v>620</v>
      </c>
      <c r="K506">
        <v>148</v>
      </c>
      <c r="L506">
        <v>597</v>
      </c>
      <c r="M506">
        <v>1.3997071742313301</v>
      </c>
      <c r="N506" t="s">
        <v>23</v>
      </c>
      <c r="O506">
        <v>0</v>
      </c>
    </row>
    <row r="507" spans="1:15" x14ac:dyDescent="0.35">
      <c r="A507">
        <v>506</v>
      </c>
      <c r="B507" t="s">
        <v>22</v>
      </c>
      <c r="C507" t="s">
        <v>24</v>
      </c>
      <c r="D507" s="1">
        <v>45467</v>
      </c>
      <c r="E507" t="s">
        <v>29</v>
      </c>
      <c r="F507">
        <v>10</v>
      </c>
      <c r="G507">
        <v>75</v>
      </c>
      <c r="H507">
        <v>0</v>
      </c>
      <c r="I507">
        <v>3764</v>
      </c>
      <c r="J507">
        <v>615</v>
      </c>
      <c r="K507">
        <v>72</v>
      </c>
      <c r="L507">
        <v>236</v>
      </c>
      <c r="M507">
        <v>1.2452178533475</v>
      </c>
      <c r="N507" t="s">
        <v>23</v>
      </c>
      <c r="O507">
        <v>0</v>
      </c>
    </row>
    <row r="508" spans="1:15" x14ac:dyDescent="0.35">
      <c r="A508">
        <v>507</v>
      </c>
      <c r="B508" t="s">
        <v>26</v>
      </c>
      <c r="C508" t="s">
        <v>16</v>
      </c>
      <c r="D508" s="1">
        <v>45395</v>
      </c>
      <c r="E508" t="s">
        <v>28</v>
      </c>
      <c r="F508">
        <v>11</v>
      </c>
      <c r="G508">
        <v>263</v>
      </c>
      <c r="H508">
        <v>19</v>
      </c>
      <c r="I508">
        <v>4332</v>
      </c>
      <c r="J508">
        <v>521</v>
      </c>
      <c r="K508">
        <v>431</v>
      </c>
      <c r="L508">
        <v>154</v>
      </c>
      <c r="M508">
        <v>1.2553093259464401</v>
      </c>
      <c r="N508" t="s">
        <v>23</v>
      </c>
      <c r="O508">
        <v>0</v>
      </c>
    </row>
    <row r="509" spans="1:15" x14ac:dyDescent="0.35">
      <c r="A509">
        <v>508</v>
      </c>
      <c r="B509" t="s">
        <v>22</v>
      </c>
      <c r="C509" t="s">
        <v>19</v>
      </c>
      <c r="D509" s="1">
        <v>45311</v>
      </c>
      <c r="E509" t="s">
        <v>28</v>
      </c>
      <c r="F509">
        <v>10</v>
      </c>
      <c r="G509">
        <v>296</v>
      </c>
      <c r="H509">
        <v>0</v>
      </c>
      <c r="I509">
        <v>4403</v>
      </c>
      <c r="J509">
        <v>520</v>
      </c>
      <c r="K509">
        <v>122</v>
      </c>
      <c r="L509">
        <v>96</v>
      </c>
      <c r="M509">
        <v>1.1676129911424</v>
      </c>
      <c r="N509" t="s">
        <v>23</v>
      </c>
      <c r="O509">
        <v>0</v>
      </c>
    </row>
    <row r="510" spans="1:15" x14ac:dyDescent="0.35">
      <c r="A510">
        <v>509</v>
      </c>
      <c r="B510" t="s">
        <v>26</v>
      </c>
      <c r="C510" t="s">
        <v>19</v>
      </c>
      <c r="D510" s="1">
        <v>45512</v>
      </c>
      <c r="E510" t="s">
        <v>27</v>
      </c>
      <c r="F510">
        <v>19</v>
      </c>
      <c r="G510">
        <v>137</v>
      </c>
      <c r="H510">
        <v>15</v>
      </c>
      <c r="I510">
        <v>4326</v>
      </c>
      <c r="J510">
        <v>435</v>
      </c>
      <c r="K510">
        <v>381</v>
      </c>
      <c r="L510">
        <v>45</v>
      </c>
      <c r="M510">
        <v>1.1990291262135899</v>
      </c>
      <c r="N510" t="s">
        <v>23</v>
      </c>
      <c r="O510">
        <v>0</v>
      </c>
    </row>
    <row r="511" spans="1:15" x14ac:dyDescent="0.35">
      <c r="A511">
        <v>510</v>
      </c>
      <c r="B511" t="s">
        <v>22</v>
      </c>
      <c r="C511" t="s">
        <v>16</v>
      </c>
      <c r="D511" s="1">
        <v>45487</v>
      </c>
      <c r="E511" t="s">
        <v>20</v>
      </c>
      <c r="F511">
        <v>14</v>
      </c>
      <c r="G511">
        <v>264</v>
      </c>
      <c r="H511">
        <v>7</v>
      </c>
      <c r="I511">
        <v>2921</v>
      </c>
      <c r="J511">
        <v>608</v>
      </c>
      <c r="K511">
        <v>591</v>
      </c>
      <c r="L511">
        <v>101</v>
      </c>
      <c r="M511">
        <v>1.4450530640191701</v>
      </c>
      <c r="N511" t="s">
        <v>23</v>
      </c>
      <c r="O511">
        <v>0</v>
      </c>
    </row>
    <row r="512" spans="1:15" x14ac:dyDescent="0.35">
      <c r="A512">
        <v>511</v>
      </c>
      <c r="B512" t="s">
        <v>22</v>
      </c>
      <c r="C512" t="s">
        <v>16</v>
      </c>
      <c r="D512" s="1">
        <v>45334</v>
      </c>
      <c r="E512" t="s">
        <v>29</v>
      </c>
      <c r="F512">
        <v>6</v>
      </c>
      <c r="G512">
        <v>23</v>
      </c>
      <c r="H512">
        <v>18</v>
      </c>
      <c r="I512">
        <v>2370</v>
      </c>
      <c r="J512">
        <v>617</v>
      </c>
      <c r="K512">
        <v>558</v>
      </c>
      <c r="L512">
        <v>419</v>
      </c>
      <c r="M512">
        <v>1.6725738396624401</v>
      </c>
      <c r="N512" t="s">
        <v>21</v>
      </c>
      <c r="O512">
        <v>0</v>
      </c>
    </row>
    <row r="513" spans="1:15" x14ac:dyDescent="0.35">
      <c r="A513">
        <v>512</v>
      </c>
      <c r="B513" t="s">
        <v>26</v>
      </c>
      <c r="C513" t="s">
        <v>16</v>
      </c>
      <c r="D513" s="1">
        <v>45559</v>
      </c>
      <c r="E513" t="s">
        <v>17</v>
      </c>
      <c r="F513">
        <v>16</v>
      </c>
      <c r="G513">
        <v>229</v>
      </c>
      <c r="H513">
        <v>11</v>
      </c>
      <c r="I513">
        <v>1015</v>
      </c>
      <c r="J513">
        <v>537</v>
      </c>
      <c r="K513">
        <v>9</v>
      </c>
      <c r="L513">
        <v>385</v>
      </c>
      <c r="M513">
        <v>1.91724137931034</v>
      </c>
      <c r="N513" t="s">
        <v>21</v>
      </c>
      <c r="O513">
        <v>0</v>
      </c>
    </row>
    <row r="514" spans="1:15" x14ac:dyDescent="0.35">
      <c r="A514">
        <v>513</v>
      </c>
      <c r="B514" t="s">
        <v>26</v>
      </c>
      <c r="C514" t="s">
        <v>24</v>
      </c>
      <c r="D514" s="1">
        <v>45346</v>
      </c>
      <c r="E514" t="s">
        <v>28</v>
      </c>
      <c r="F514">
        <v>17</v>
      </c>
      <c r="G514">
        <v>161</v>
      </c>
      <c r="H514">
        <v>12</v>
      </c>
      <c r="I514">
        <v>1317</v>
      </c>
      <c r="J514">
        <v>441</v>
      </c>
      <c r="K514">
        <v>261</v>
      </c>
      <c r="L514">
        <v>268</v>
      </c>
      <c r="M514">
        <v>1.73652239939255</v>
      </c>
      <c r="N514" t="s">
        <v>21</v>
      </c>
      <c r="O514">
        <v>0</v>
      </c>
    </row>
    <row r="515" spans="1:15" x14ac:dyDescent="0.35">
      <c r="A515">
        <v>514</v>
      </c>
      <c r="B515" t="s">
        <v>15</v>
      </c>
      <c r="C515" t="s">
        <v>24</v>
      </c>
      <c r="D515" s="1">
        <v>45396</v>
      </c>
      <c r="E515" t="s">
        <v>20</v>
      </c>
      <c r="F515">
        <v>23</v>
      </c>
      <c r="G515">
        <v>267</v>
      </c>
      <c r="H515">
        <v>8</v>
      </c>
      <c r="I515">
        <v>3435</v>
      </c>
      <c r="J515">
        <v>570</v>
      </c>
      <c r="K515">
        <v>572</v>
      </c>
      <c r="L515">
        <v>495</v>
      </c>
      <c r="M515">
        <v>1.4765647743813599</v>
      </c>
      <c r="N515" t="s">
        <v>23</v>
      </c>
      <c r="O515">
        <v>0</v>
      </c>
    </row>
    <row r="516" spans="1:15" x14ac:dyDescent="0.35">
      <c r="A516">
        <v>515</v>
      </c>
      <c r="B516" t="s">
        <v>26</v>
      </c>
      <c r="C516" t="s">
        <v>16</v>
      </c>
      <c r="D516" s="1">
        <v>45449</v>
      </c>
      <c r="E516" t="s">
        <v>27</v>
      </c>
      <c r="F516">
        <v>13</v>
      </c>
      <c r="G516">
        <v>248</v>
      </c>
      <c r="H516">
        <v>5</v>
      </c>
      <c r="I516">
        <v>4782</v>
      </c>
      <c r="J516">
        <v>357</v>
      </c>
      <c r="K516">
        <v>409</v>
      </c>
      <c r="L516">
        <v>142</v>
      </c>
      <c r="M516">
        <v>1.1898787118360501</v>
      </c>
      <c r="N516" t="s">
        <v>23</v>
      </c>
      <c r="O516">
        <v>0</v>
      </c>
    </row>
    <row r="517" spans="1:15" x14ac:dyDescent="0.35">
      <c r="A517">
        <v>516</v>
      </c>
      <c r="B517" t="s">
        <v>26</v>
      </c>
      <c r="C517" t="s">
        <v>19</v>
      </c>
      <c r="D517" s="1">
        <v>45343</v>
      </c>
      <c r="E517" t="s">
        <v>25</v>
      </c>
      <c r="F517">
        <v>7</v>
      </c>
      <c r="G517">
        <v>102</v>
      </c>
      <c r="H517">
        <v>12</v>
      </c>
      <c r="I517">
        <v>1806</v>
      </c>
      <c r="J517">
        <v>525</v>
      </c>
      <c r="K517">
        <v>412</v>
      </c>
      <c r="L517">
        <v>347</v>
      </c>
      <c r="M517">
        <v>1.7109634551495001</v>
      </c>
      <c r="N517" t="s">
        <v>21</v>
      </c>
      <c r="O517">
        <v>0</v>
      </c>
    </row>
    <row r="518" spans="1:15" x14ac:dyDescent="0.35">
      <c r="A518">
        <v>517</v>
      </c>
      <c r="B518" t="s">
        <v>22</v>
      </c>
      <c r="C518" t="s">
        <v>16</v>
      </c>
      <c r="D518" s="1">
        <v>45294</v>
      </c>
      <c r="E518" t="s">
        <v>25</v>
      </c>
      <c r="F518">
        <v>8</v>
      </c>
      <c r="G518">
        <v>154</v>
      </c>
      <c r="H518">
        <v>7</v>
      </c>
      <c r="I518">
        <v>796</v>
      </c>
      <c r="J518">
        <v>153</v>
      </c>
      <c r="K518">
        <v>484</v>
      </c>
      <c r="L518">
        <v>615</v>
      </c>
      <c r="M518">
        <v>2.5728643216080398</v>
      </c>
      <c r="N518" t="s">
        <v>18</v>
      </c>
      <c r="O518">
        <v>0</v>
      </c>
    </row>
    <row r="519" spans="1:15" x14ac:dyDescent="0.35">
      <c r="A519">
        <v>518</v>
      </c>
      <c r="B519" t="s">
        <v>22</v>
      </c>
      <c r="C519" t="s">
        <v>19</v>
      </c>
      <c r="D519" s="1">
        <v>45481</v>
      </c>
      <c r="E519" t="s">
        <v>29</v>
      </c>
      <c r="F519">
        <v>22</v>
      </c>
      <c r="G519">
        <v>166</v>
      </c>
      <c r="H519">
        <v>19</v>
      </c>
      <c r="I519">
        <v>705</v>
      </c>
      <c r="J519">
        <v>628</v>
      </c>
      <c r="K519">
        <v>40</v>
      </c>
      <c r="L519">
        <v>394</v>
      </c>
      <c r="M519">
        <v>2.5063829787234</v>
      </c>
      <c r="N519" t="s">
        <v>18</v>
      </c>
      <c r="O519">
        <v>0</v>
      </c>
    </row>
    <row r="520" spans="1:15" x14ac:dyDescent="0.35">
      <c r="A520">
        <v>519</v>
      </c>
      <c r="B520" t="s">
        <v>15</v>
      </c>
      <c r="C520" t="s">
        <v>16</v>
      </c>
      <c r="D520" s="1">
        <v>45321</v>
      </c>
      <c r="E520" t="s">
        <v>17</v>
      </c>
      <c r="F520">
        <v>22</v>
      </c>
      <c r="G520">
        <v>166</v>
      </c>
      <c r="H520">
        <v>6</v>
      </c>
      <c r="I520">
        <v>1485</v>
      </c>
      <c r="J520">
        <v>660</v>
      </c>
      <c r="K520">
        <v>508</v>
      </c>
      <c r="L520">
        <v>450</v>
      </c>
      <c r="M520">
        <v>2.0895622895622799</v>
      </c>
      <c r="N520" t="s">
        <v>21</v>
      </c>
      <c r="O520">
        <v>0</v>
      </c>
    </row>
    <row r="521" spans="1:15" x14ac:dyDescent="0.35">
      <c r="A521">
        <v>520</v>
      </c>
      <c r="B521" t="s">
        <v>26</v>
      </c>
      <c r="C521" t="s">
        <v>16</v>
      </c>
      <c r="D521" s="1">
        <v>45309</v>
      </c>
      <c r="E521" t="s">
        <v>27</v>
      </c>
      <c r="F521">
        <v>7</v>
      </c>
      <c r="G521">
        <v>204</v>
      </c>
      <c r="H521">
        <v>7</v>
      </c>
      <c r="I521">
        <v>4961</v>
      </c>
      <c r="J521">
        <v>527</v>
      </c>
      <c r="K521">
        <v>530</v>
      </c>
      <c r="L521">
        <v>238</v>
      </c>
      <c r="M521">
        <v>1.26103608143519</v>
      </c>
      <c r="N521" t="s">
        <v>23</v>
      </c>
      <c r="O521">
        <v>0</v>
      </c>
    </row>
    <row r="522" spans="1:15" x14ac:dyDescent="0.35">
      <c r="A522">
        <v>521</v>
      </c>
      <c r="B522" t="s">
        <v>22</v>
      </c>
      <c r="C522" t="s">
        <v>19</v>
      </c>
      <c r="D522" s="1">
        <v>45292</v>
      </c>
      <c r="E522" t="s">
        <v>29</v>
      </c>
      <c r="F522">
        <v>18</v>
      </c>
      <c r="G522">
        <v>227</v>
      </c>
      <c r="H522">
        <v>18</v>
      </c>
      <c r="I522">
        <v>1339</v>
      </c>
      <c r="J522">
        <v>93</v>
      </c>
      <c r="K522">
        <v>284</v>
      </c>
      <c r="L522">
        <v>410</v>
      </c>
      <c r="M522">
        <v>1.58775205377147</v>
      </c>
      <c r="N522" t="s">
        <v>23</v>
      </c>
      <c r="O522">
        <v>0</v>
      </c>
    </row>
    <row r="523" spans="1:15" x14ac:dyDescent="0.35">
      <c r="A523">
        <v>522</v>
      </c>
      <c r="B523" t="s">
        <v>26</v>
      </c>
      <c r="C523" t="s">
        <v>24</v>
      </c>
      <c r="D523" s="1">
        <v>45394</v>
      </c>
      <c r="E523" t="s">
        <v>30</v>
      </c>
      <c r="F523">
        <v>23</v>
      </c>
      <c r="G523">
        <v>198</v>
      </c>
      <c r="H523">
        <v>11</v>
      </c>
      <c r="I523">
        <v>4291</v>
      </c>
      <c r="J523">
        <v>20</v>
      </c>
      <c r="K523">
        <v>72</v>
      </c>
      <c r="L523">
        <v>93</v>
      </c>
      <c r="M523">
        <v>1.04311349335819</v>
      </c>
      <c r="N523" t="s">
        <v>23</v>
      </c>
      <c r="O523">
        <v>0</v>
      </c>
    </row>
    <row r="524" spans="1:15" x14ac:dyDescent="0.35">
      <c r="A524">
        <v>523</v>
      </c>
      <c r="B524" t="s">
        <v>22</v>
      </c>
      <c r="C524" t="s">
        <v>19</v>
      </c>
      <c r="D524" s="1">
        <v>45433</v>
      </c>
      <c r="E524" t="s">
        <v>17</v>
      </c>
      <c r="F524">
        <v>6</v>
      </c>
      <c r="G524">
        <v>153</v>
      </c>
      <c r="H524">
        <v>5</v>
      </c>
      <c r="I524">
        <v>1903</v>
      </c>
      <c r="J524">
        <v>625</v>
      </c>
      <c r="K524">
        <v>201</v>
      </c>
      <c r="L524">
        <v>466</v>
      </c>
      <c r="M524">
        <v>1.67892800840777</v>
      </c>
      <c r="N524" t="s">
        <v>21</v>
      </c>
      <c r="O524">
        <v>0</v>
      </c>
    </row>
    <row r="525" spans="1:15" x14ac:dyDescent="0.35">
      <c r="A525">
        <v>524</v>
      </c>
      <c r="B525" t="s">
        <v>26</v>
      </c>
      <c r="C525" t="s">
        <v>24</v>
      </c>
      <c r="D525" s="1">
        <v>45500</v>
      </c>
      <c r="E525" t="s">
        <v>28</v>
      </c>
      <c r="F525">
        <v>16</v>
      </c>
      <c r="G525">
        <v>79</v>
      </c>
      <c r="H525">
        <v>16</v>
      </c>
      <c r="I525">
        <v>4197</v>
      </c>
      <c r="J525">
        <v>114</v>
      </c>
      <c r="K525">
        <v>574</v>
      </c>
      <c r="L525">
        <v>75</v>
      </c>
      <c r="M525">
        <v>1.1817965213247501</v>
      </c>
      <c r="N525" t="s">
        <v>23</v>
      </c>
      <c r="O525">
        <v>0</v>
      </c>
    </row>
    <row r="526" spans="1:15" x14ac:dyDescent="0.35">
      <c r="A526">
        <v>525</v>
      </c>
      <c r="B526" t="s">
        <v>22</v>
      </c>
      <c r="C526" t="s">
        <v>19</v>
      </c>
      <c r="D526" s="1">
        <v>45423</v>
      </c>
      <c r="E526" t="s">
        <v>28</v>
      </c>
      <c r="F526">
        <v>21</v>
      </c>
      <c r="G526">
        <v>144</v>
      </c>
      <c r="H526">
        <v>10</v>
      </c>
      <c r="I526">
        <v>4456</v>
      </c>
      <c r="J526">
        <v>593</v>
      </c>
      <c r="K526">
        <v>258</v>
      </c>
      <c r="L526">
        <v>454</v>
      </c>
      <c r="M526">
        <v>1.2928635547576299</v>
      </c>
      <c r="N526" t="s">
        <v>23</v>
      </c>
      <c r="O526">
        <v>0</v>
      </c>
    </row>
    <row r="527" spans="1:15" x14ac:dyDescent="0.35">
      <c r="A527">
        <v>526</v>
      </c>
      <c r="B527" t="s">
        <v>15</v>
      </c>
      <c r="C527" t="s">
        <v>24</v>
      </c>
      <c r="D527" s="1">
        <v>45526</v>
      </c>
      <c r="E527" t="s">
        <v>27</v>
      </c>
      <c r="F527">
        <v>8</v>
      </c>
      <c r="G527">
        <v>215</v>
      </c>
      <c r="H527">
        <v>20</v>
      </c>
      <c r="I527">
        <v>3824</v>
      </c>
      <c r="J527">
        <v>605</v>
      </c>
      <c r="K527">
        <v>30</v>
      </c>
      <c r="L527">
        <v>494</v>
      </c>
      <c r="M527">
        <v>1.2952405857740501</v>
      </c>
      <c r="N527" t="s">
        <v>23</v>
      </c>
      <c r="O527">
        <v>0</v>
      </c>
    </row>
    <row r="528" spans="1:15" x14ac:dyDescent="0.35">
      <c r="A528">
        <v>527</v>
      </c>
      <c r="B528" t="s">
        <v>26</v>
      </c>
      <c r="C528" t="s">
        <v>19</v>
      </c>
      <c r="D528" s="1">
        <v>45404</v>
      </c>
      <c r="E528" t="s">
        <v>29</v>
      </c>
      <c r="F528">
        <v>6</v>
      </c>
      <c r="G528">
        <v>154</v>
      </c>
      <c r="H528">
        <v>7</v>
      </c>
      <c r="I528">
        <v>1933</v>
      </c>
      <c r="J528">
        <v>328</v>
      </c>
      <c r="K528">
        <v>424</v>
      </c>
      <c r="L528">
        <v>362</v>
      </c>
      <c r="M528">
        <v>1.57630625969994</v>
      </c>
      <c r="N528" t="s">
        <v>23</v>
      </c>
      <c r="O528">
        <v>0</v>
      </c>
    </row>
    <row r="529" spans="1:15" x14ac:dyDescent="0.35">
      <c r="A529">
        <v>528</v>
      </c>
      <c r="B529" t="s">
        <v>26</v>
      </c>
      <c r="C529" t="s">
        <v>16</v>
      </c>
      <c r="D529" s="1">
        <v>45439</v>
      </c>
      <c r="E529" t="s">
        <v>29</v>
      </c>
      <c r="F529">
        <v>21</v>
      </c>
      <c r="G529">
        <v>180</v>
      </c>
      <c r="H529">
        <v>11</v>
      </c>
      <c r="I529">
        <v>811</v>
      </c>
      <c r="J529">
        <v>413</v>
      </c>
      <c r="K529">
        <v>352</v>
      </c>
      <c r="L529">
        <v>78</v>
      </c>
      <c r="M529">
        <v>2.0394574599260098</v>
      </c>
      <c r="N529" t="s">
        <v>21</v>
      </c>
      <c r="O529">
        <v>0</v>
      </c>
    </row>
    <row r="530" spans="1:15" x14ac:dyDescent="0.35">
      <c r="A530">
        <v>529</v>
      </c>
      <c r="B530" t="s">
        <v>15</v>
      </c>
      <c r="C530" t="s">
        <v>24</v>
      </c>
      <c r="D530" s="1">
        <v>45403</v>
      </c>
      <c r="E530" t="s">
        <v>20</v>
      </c>
      <c r="F530">
        <v>12</v>
      </c>
      <c r="G530">
        <v>140</v>
      </c>
      <c r="H530">
        <v>7</v>
      </c>
      <c r="I530">
        <v>4749</v>
      </c>
      <c r="J530">
        <v>280</v>
      </c>
      <c r="K530">
        <v>189</v>
      </c>
      <c r="L530">
        <v>700</v>
      </c>
      <c r="M530">
        <v>1.2461570857022499</v>
      </c>
      <c r="N530" t="s">
        <v>23</v>
      </c>
      <c r="O530">
        <v>0</v>
      </c>
    </row>
    <row r="531" spans="1:15" x14ac:dyDescent="0.35">
      <c r="A531">
        <v>530</v>
      </c>
      <c r="B531" t="s">
        <v>26</v>
      </c>
      <c r="C531" t="s">
        <v>24</v>
      </c>
      <c r="D531" s="1">
        <v>45427</v>
      </c>
      <c r="E531" t="s">
        <v>25</v>
      </c>
      <c r="F531">
        <v>10</v>
      </c>
      <c r="G531">
        <v>74</v>
      </c>
      <c r="H531">
        <v>3</v>
      </c>
      <c r="I531">
        <v>1743</v>
      </c>
      <c r="J531">
        <v>239</v>
      </c>
      <c r="K531">
        <v>209</v>
      </c>
      <c r="L531">
        <v>256</v>
      </c>
      <c r="M531">
        <v>1.40390131956397</v>
      </c>
      <c r="N531" t="s">
        <v>23</v>
      </c>
      <c r="O531">
        <v>0</v>
      </c>
    </row>
    <row r="532" spans="1:15" x14ac:dyDescent="0.35">
      <c r="A532">
        <v>531</v>
      </c>
      <c r="B532" t="s">
        <v>15</v>
      </c>
      <c r="C532" t="s">
        <v>24</v>
      </c>
      <c r="D532" s="1">
        <v>45332</v>
      </c>
      <c r="E532" t="s">
        <v>28</v>
      </c>
      <c r="F532">
        <v>17</v>
      </c>
      <c r="G532">
        <v>181</v>
      </c>
      <c r="H532">
        <v>15</v>
      </c>
      <c r="I532">
        <v>4085</v>
      </c>
      <c r="J532">
        <v>633</v>
      </c>
      <c r="K532">
        <v>8</v>
      </c>
      <c r="L532">
        <v>555</v>
      </c>
      <c r="M532">
        <v>1.29277845777233</v>
      </c>
      <c r="N532" t="s">
        <v>23</v>
      </c>
      <c r="O532">
        <v>0</v>
      </c>
    </row>
    <row r="533" spans="1:15" x14ac:dyDescent="0.35">
      <c r="A533">
        <v>532</v>
      </c>
      <c r="B533" t="s">
        <v>22</v>
      </c>
      <c r="C533" t="s">
        <v>24</v>
      </c>
      <c r="D533" s="1">
        <v>45586</v>
      </c>
      <c r="E533" t="s">
        <v>29</v>
      </c>
      <c r="F533">
        <v>13</v>
      </c>
      <c r="G533">
        <v>85</v>
      </c>
      <c r="H533">
        <v>1</v>
      </c>
      <c r="I533">
        <v>2300</v>
      </c>
      <c r="J533">
        <v>507</v>
      </c>
      <c r="K533">
        <v>189</v>
      </c>
      <c r="L533">
        <v>524</v>
      </c>
      <c r="M533">
        <v>1.5304347826086899</v>
      </c>
      <c r="N533" t="s">
        <v>23</v>
      </c>
      <c r="O533">
        <v>0</v>
      </c>
    </row>
    <row r="534" spans="1:15" x14ac:dyDescent="0.35">
      <c r="A534">
        <v>533</v>
      </c>
      <c r="B534" t="s">
        <v>26</v>
      </c>
      <c r="C534" t="s">
        <v>24</v>
      </c>
      <c r="D534" s="1">
        <v>45561</v>
      </c>
      <c r="E534" t="s">
        <v>27</v>
      </c>
      <c r="F534">
        <v>18</v>
      </c>
      <c r="G534">
        <v>109</v>
      </c>
      <c r="H534">
        <v>14</v>
      </c>
      <c r="I534">
        <v>3516</v>
      </c>
      <c r="J534">
        <v>494</v>
      </c>
      <c r="K534">
        <v>555</v>
      </c>
      <c r="L534">
        <v>34</v>
      </c>
      <c r="M534">
        <v>1.3080204778156901</v>
      </c>
      <c r="N534" t="s">
        <v>23</v>
      </c>
      <c r="O534">
        <v>0</v>
      </c>
    </row>
    <row r="535" spans="1:15" x14ac:dyDescent="0.35">
      <c r="A535">
        <v>534</v>
      </c>
      <c r="B535" t="s">
        <v>15</v>
      </c>
      <c r="C535" t="s">
        <v>19</v>
      </c>
      <c r="D535" s="1">
        <v>45353</v>
      </c>
      <c r="E535" t="s">
        <v>28</v>
      </c>
      <c r="F535">
        <v>12</v>
      </c>
      <c r="G535">
        <v>214</v>
      </c>
      <c r="H535">
        <v>18</v>
      </c>
      <c r="I535">
        <v>4295</v>
      </c>
      <c r="J535">
        <v>476</v>
      </c>
      <c r="K535">
        <v>325</v>
      </c>
      <c r="L535">
        <v>9</v>
      </c>
      <c r="M535">
        <v>1.18859138533178</v>
      </c>
      <c r="N535" t="s">
        <v>23</v>
      </c>
      <c r="O535">
        <v>0</v>
      </c>
    </row>
    <row r="536" spans="1:15" x14ac:dyDescent="0.35">
      <c r="A536">
        <v>535</v>
      </c>
      <c r="B536" t="s">
        <v>26</v>
      </c>
      <c r="C536" t="s">
        <v>24</v>
      </c>
      <c r="D536" s="1">
        <v>45343</v>
      </c>
      <c r="E536" t="s">
        <v>25</v>
      </c>
      <c r="F536">
        <v>13</v>
      </c>
      <c r="G536">
        <v>157</v>
      </c>
      <c r="H536">
        <v>15</v>
      </c>
      <c r="I536">
        <v>2715</v>
      </c>
      <c r="J536">
        <v>375</v>
      </c>
      <c r="K536">
        <v>267</v>
      </c>
      <c r="L536">
        <v>192</v>
      </c>
      <c r="M536">
        <v>1.3071823204419799</v>
      </c>
      <c r="N536" t="s">
        <v>23</v>
      </c>
      <c r="O536">
        <v>0</v>
      </c>
    </row>
    <row r="537" spans="1:15" x14ac:dyDescent="0.35">
      <c r="A537">
        <v>536</v>
      </c>
      <c r="B537" t="s">
        <v>15</v>
      </c>
      <c r="C537" t="s">
        <v>24</v>
      </c>
      <c r="D537" s="1">
        <v>45467</v>
      </c>
      <c r="E537" t="s">
        <v>29</v>
      </c>
      <c r="F537">
        <v>17</v>
      </c>
      <c r="G537">
        <v>206</v>
      </c>
      <c r="H537">
        <v>12</v>
      </c>
      <c r="I537">
        <v>3047</v>
      </c>
      <c r="J537">
        <v>193</v>
      </c>
      <c r="K537">
        <v>512</v>
      </c>
      <c r="L537">
        <v>435</v>
      </c>
      <c r="M537">
        <v>1.3741384968821699</v>
      </c>
      <c r="N537" t="s">
        <v>23</v>
      </c>
      <c r="O537">
        <v>0</v>
      </c>
    </row>
    <row r="538" spans="1:15" x14ac:dyDescent="0.35">
      <c r="A538">
        <v>537</v>
      </c>
      <c r="B538" t="s">
        <v>26</v>
      </c>
      <c r="C538" t="s">
        <v>19</v>
      </c>
      <c r="D538" s="1">
        <v>45435</v>
      </c>
      <c r="E538" t="s">
        <v>27</v>
      </c>
      <c r="F538">
        <v>13</v>
      </c>
      <c r="G538">
        <v>71</v>
      </c>
      <c r="H538">
        <v>8</v>
      </c>
      <c r="I538">
        <v>3742</v>
      </c>
      <c r="J538">
        <v>189</v>
      </c>
      <c r="K538">
        <v>587</v>
      </c>
      <c r="L538">
        <v>135</v>
      </c>
      <c r="M538">
        <v>1.2434526990913899</v>
      </c>
      <c r="N538" t="s">
        <v>23</v>
      </c>
      <c r="O538">
        <v>0</v>
      </c>
    </row>
    <row r="539" spans="1:15" x14ac:dyDescent="0.35">
      <c r="A539">
        <v>538</v>
      </c>
      <c r="B539" t="s">
        <v>15</v>
      </c>
      <c r="C539" t="s">
        <v>19</v>
      </c>
      <c r="D539" s="1">
        <v>45412</v>
      </c>
      <c r="E539" t="s">
        <v>17</v>
      </c>
      <c r="F539">
        <v>10</v>
      </c>
      <c r="G539">
        <v>262</v>
      </c>
      <c r="H539">
        <v>0</v>
      </c>
      <c r="I539">
        <v>4599</v>
      </c>
      <c r="J539">
        <v>447</v>
      </c>
      <c r="K539">
        <v>392</v>
      </c>
      <c r="L539">
        <v>201</v>
      </c>
      <c r="M539">
        <v>1.2261361165470701</v>
      </c>
      <c r="N539" t="s">
        <v>23</v>
      </c>
      <c r="O539">
        <v>0</v>
      </c>
    </row>
    <row r="540" spans="1:15" x14ac:dyDescent="0.35">
      <c r="A540">
        <v>539</v>
      </c>
      <c r="B540" t="s">
        <v>26</v>
      </c>
      <c r="C540" t="s">
        <v>19</v>
      </c>
      <c r="D540" s="1">
        <v>45382</v>
      </c>
      <c r="E540" t="s">
        <v>20</v>
      </c>
      <c r="F540">
        <v>16</v>
      </c>
      <c r="G540">
        <v>269</v>
      </c>
      <c r="H540">
        <v>9</v>
      </c>
      <c r="I540">
        <v>3503</v>
      </c>
      <c r="J540">
        <v>516</v>
      </c>
      <c r="K540">
        <v>139</v>
      </c>
      <c r="L540">
        <v>646</v>
      </c>
      <c r="M540">
        <v>1.37139594633171</v>
      </c>
      <c r="N540" t="s">
        <v>23</v>
      </c>
      <c r="O540">
        <v>0</v>
      </c>
    </row>
    <row r="541" spans="1:15" x14ac:dyDescent="0.35">
      <c r="A541">
        <v>540</v>
      </c>
      <c r="B541" t="s">
        <v>15</v>
      </c>
      <c r="C541" t="s">
        <v>19</v>
      </c>
      <c r="D541" s="1">
        <v>45420</v>
      </c>
      <c r="E541" t="s">
        <v>25</v>
      </c>
      <c r="F541">
        <v>11</v>
      </c>
      <c r="G541">
        <v>50</v>
      </c>
      <c r="H541">
        <v>6</v>
      </c>
      <c r="I541">
        <v>4655</v>
      </c>
      <c r="J541">
        <v>586</v>
      </c>
      <c r="K541">
        <v>50</v>
      </c>
      <c r="L541">
        <v>408</v>
      </c>
      <c r="M541">
        <v>1.2242749731471501</v>
      </c>
      <c r="N541" t="s">
        <v>23</v>
      </c>
      <c r="O541">
        <v>0</v>
      </c>
    </row>
    <row r="542" spans="1:15" x14ac:dyDescent="0.35">
      <c r="A542">
        <v>541</v>
      </c>
      <c r="B542" t="s">
        <v>26</v>
      </c>
      <c r="C542" t="s">
        <v>24</v>
      </c>
      <c r="D542" s="1">
        <v>45422</v>
      </c>
      <c r="E542" t="s">
        <v>30</v>
      </c>
      <c r="F542">
        <v>14</v>
      </c>
      <c r="G542">
        <v>204</v>
      </c>
      <c r="H542">
        <v>11</v>
      </c>
      <c r="I542">
        <v>3953</v>
      </c>
      <c r="J542">
        <v>649</v>
      </c>
      <c r="K542">
        <v>100</v>
      </c>
      <c r="L542">
        <v>461</v>
      </c>
      <c r="M542">
        <v>1.30609663546673</v>
      </c>
      <c r="N542" t="s">
        <v>23</v>
      </c>
      <c r="O542">
        <v>0</v>
      </c>
    </row>
    <row r="543" spans="1:15" x14ac:dyDescent="0.35">
      <c r="A543">
        <v>542</v>
      </c>
      <c r="B543" t="s">
        <v>22</v>
      </c>
      <c r="C543" t="s">
        <v>16</v>
      </c>
      <c r="D543" s="1">
        <v>45578</v>
      </c>
      <c r="E543" t="s">
        <v>20</v>
      </c>
      <c r="F543">
        <v>17</v>
      </c>
      <c r="G543">
        <v>121</v>
      </c>
      <c r="H543">
        <v>18</v>
      </c>
      <c r="I543">
        <v>4616</v>
      </c>
      <c r="J543">
        <v>268</v>
      </c>
      <c r="K543">
        <v>354</v>
      </c>
      <c r="L543">
        <v>21</v>
      </c>
      <c r="M543">
        <v>1.1392980935875201</v>
      </c>
      <c r="N543" t="s">
        <v>23</v>
      </c>
      <c r="O543">
        <v>0</v>
      </c>
    </row>
    <row r="544" spans="1:15" x14ac:dyDescent="0.35">
      <c r="A544">
        <v>543</v>
      </c>
      <c r="B544" t="s">
        <v>22</v>
      </c>
      <c r="C544" t="s">
        <v>19</v>
      </c>
      <c r="D544" s="1">
        <v>45586</v>
      </c>
      <c r="E544" t="s">
        <v>29</v>
      </c>
      <c r="F544">
        <v>22</v>
      </c>
      <c r="G544">
        <v>269</v>
      </c>
      <c r="H544">
        <v>14</v>
      </c>
      <c r="I544">
        <v>4460</v>
      </c>
      <c r="J544">
        <v>183</v>
      </c>
      <c r="K544">
        <v>293</v>
      </c>
      <c r="L544">
        <v>364</v>
      </c>
      <c r="M544">
        <v>1.18834080717488</v>
      </c>
      <c r="N544" t="s">
        <v>23</v>
      </c>
      <c r="O544">
        <v>0</v>
      </c>
    </row>
    <row r="545" spans="1:15" x14ac:dyDescent="0.35">
      <c r="A545">
        <v>544</v>
      </c>
      <c r="B545" t="s">
        <v>26</v>
      </c>
      <c r="C545" t="s">
        <v>16</v>
      </c>
      <c r="D545" s="1">
        <v>45332</v>
      </c>
      <c r="E545" t="s">
        <v>28</v>
      </c>
      <c r="F545">
        <v>11</v>
      </c>
      <c r="G545">
        <v>192</v>
      </c>
      <c r="H545">
        <v>13</v>
      </c>
      <c r="I545">
        <v>3171</v>
      </c>
      <c r="J545">
        <v>633</v>
      </c>
      <c r="K545">
        <v>295</v>
      </c>
      <c r="L545">
        <v>475</v>
      </c>
      <c r="M545">
        <v>1.44244717754651</v>
      </c>
      <c r="N545" t="s">
        <v>23</v>
      </c>
      <c r="O545">
        <v>0</v>
      </c>
    </row>
    <row r="546" spans="1:15" x14ac:dyDescent="0.35">
      <c r="A546">
        <v>545</v>
      </c>
      <c r="B546" t="s">
        <v>22</v>
      </c>
      <c r="C546" t="s">
        <v>16</v>
      </c>
      <c r="D546" s="1">
        <v>45584</v>
      </c>
      <c r="E546" t="s">
        <v>28</v>
      </c>
      <c r="F546">
        <v>16</v>
      </c>
      <c r="G546">
        <v>182</v>
      </c>
      <c r="H546">
        <v>20</v>
      </c>
      <c r="I546">
        <v>3365</v>
      </c>
      <c r="J546">
        <v>78</v>
      </c>
      <c r="K546">
        <v>83</v>
      </c>
      <c r="L546">
        <v>166</v>
      </c>
      <c r="M546">
        <v>1.0971768202080201</v>
      </c>
      <c r="N546" t="s">
        <v>23</v>
      </c>
      <c r="O546">
        <v>0</v>
      </c>
    </row>
    <row r="547" spans="1:15" x14ac:dyDescent="0.35">
      <c r="A547">
        <v>546</v>
      </c>
      <c r="B547" t="s">
        <v>22</v>
      </c>
      <c r="C547" t="s">
        <v>24</v>
      </c>
      <c r="D547" s="1">
        <v>45441</v>
      </c>
      <c r="E547" t="s">
        <v>25</v>
      </c>
      <c r="F547">
        <v>22</v>
      </c>
      <c r="G547">
        <v>250</v>
      </c>
      <c r="H547">
        <v>13</v>
      </c>
      <c r="I547">
        <v>2241</v>
      </c>
      <c r="J547">
        <v>624</v>
      </c>
      <c r="K547">
        <v>406</v>
      </c>
      <c r="L547">
        <v>278</v>
      </c>
      <c r="M547">
        <v>1.5836680053547501</v>
      </c>
      <c r="N547" t="s">
        <v>23</v>
      </c>
      <c r="O547">
        <v>0</v>
      </c>
    </row>
    <row r="548" spans="1:15" x14ac:dyDescent="0.35">
      <c r="A548">
        <v>547</v>
      </c>
      <c r="B548" t="s">
        <v>26</v>
      </c>
      <c r="C548" t="s">
        <v>24</v>
      </c>
      <c r="D548" s="1">
        <v>45377</v>
      </c>
      <c r="E548" t="s">
        <v>17</v>
      </c>
      <c r="F548">
        <v>8</v>
      </c>
      <c r="G548">
        <v>127</v>
      </c>
      <c r="H548">
        <v>5</v>
      </c>
      <c r="I548">
        <v>1556</v>
      </c>
      <c r="J548">
        <v>28</v>
      </c>
      <c r="K548">
        <v>130</v>
      </c>
      <c r="L548">
        <v>241</v>
      </c>
      <c r="M548">
        <v>1.2564267352184999</v>
      </c>
      <c r="N548" t="s">
        <v>23</v>
      </c>
      <c r="O548">
        <v>0</v>
      </c>
    </row>
    <row r="549" spans="1:15" x14ac:dyDescent="0.35">
      <c r="A549">
        <v>548</v>
      </c>
      <c r="B549" t="s">
        <v>26</v>
      </c>
      <c r="C549" t="s">
        <v>16</v>
      </c>
      <c r="D549" s="1">
        <v>45495</v>
      </c>
      <c r="E549" t="s">
        <v>29</v>
      </c>
      <c r="F549">
        <v>6</v>
      </c>
      <c r="G549">
        <v>223</v>
      </c>
      <c r="H549">
        <v>16</v>
      </c>
      <c r="I549">
        <v>893</v>
      </c>
      <c r="J549">
        <v>102</v>
      </c>
      <c r="K549">
        <v>67</v>
      </c>
      <c r="L549">
        <v>485</v>
      </c>
      <c r="M549">
        <v>1.7323628219484799</v>
      </c>
      <c r="N549" t="s">
        <v>21</v>
      </c>
      <c r="O549">
        <v>0</v>
      </c>
    </row>
    <row r="550" spans="1:15" x14ac:dyDescent="0.35">
      <c r="A550">
        <v>549</v>
      </c>
      <c r="B550" t="s">
        <v>26</v>
      </c>
      <c r="C550" t="s">
        <v>24</v>
      </c>
      <c r="D550" s="1">
        <v>45334</v>
      </c>
      <c r="E550" t="s">
        <v>29</v>
      </c>
      <c r="F550">
        <v>15</v>
      </c>
      <c r="G550">
        <v>137</v>
      </c>
      <c r="H550">
        <v>7</v>
      </c>
      <c r="I550">
        <v>901</v>
      </c>
      <c r="J550">
        <v>273</v>
      </c>
      <c r="K550">
        <v>161</v>
      </c>
      <c r="L550">
        <v>87</v>
      </c>
      <c r="M550">
        <v>1.57824639289678</v>
      </c>
      <c r="N550" t="s">
        <v>23</v>
      </c>
      <c r="O550">
        <v>0</v>
      </c>
    </row>
    <row r="551" spans="1:15" x14ac:dyDescent="0.35">
      <c r="A551">
        <v>550</v>
      </c>
      <c r="B551" t="s">
        <v>26</v>
      </c>
      <c r="C551" t="s">
        <v>16</v>
      </c>
      <c r="D551" s="1">
        <v>45437</v>
      </c>
      <c r="E551" t="s">
        <v>28</v>
      </c>
      <c r="F551">
        <v>6</v>
      </c>
      <c r="G551">
        <v>37</v>
      </c>
      <c r="H551">
        <v>11</v>
      </c>
      <c r="I551">
        <v>3680</v>
      </c>
      <c r="J551">
        <v>646</v>
      </c>
      <c r="K551">
        <v>131</v>
      </c>
      <c r="L551">
        <v>135</v>
      </c>
      <c r="M551">
        <v>1.2478260869565201</v>
      </c>
      <c r="N551" t="s">
        <v>23</v>
      </c>
      <c r="O551">
        <v>0</v>
      </c>
    </row>
    <row r="552" spans="1:15" x14ac:dyDescent="0.35">
      <c r="A552">
        <v>551</v>
      </c>
      <c r="B552" t="s">
        <v>26</v>
      </c>
      <c r="C552" t="s">
        <v>24</v>
      </c>
      <c r="D552" s="1">
        <v>45458</v>
      </c>
      <c r="E552" t="s">
        <v>28</v>
      </c>
      <c r="F552">
        <v>10</v>
      </c>
      <c r="G552">
        <v>296</v>
      </c>
      <c r="H552">
        <v>5</v>
      </c>
      <c r="I552">
        <v>3950</v>
      </c>
      <c r="J552">
        <v>483</v>
      </c>
      <c r="K552">
        <v>555</v>
      </c>
      <c r="L552">
        <v>279</v>
      </c>
      <c r="M552">
        <v>1.33341772151898</v>
      </c>
      <c r="N552" t="s">
        <v>23</v>
      </c>
      <c r="O552">
        <v>0</v>
      </c>
    </row>
    <row r="553" spans="1:15" x14ac:dyDescent="0.35">
      <c r="A553">
        <v>552</v>
      </c>
      <c r="B553" t="s">
        <v>26</v>
      </c>
      <c r="C553" t="s">
        <v>19</v>
      </c>
      <c r="D553" s="1">
        <v>45525</v>
      </c>
      <c r="E553" t="s">
        <v>25</v>
      </c>
      <c r="F553">
        <v>15</v>
      </c>
      <c r="G553">
        <v>197</v>
      </c>
      <c r="H553">
        <v>15</v>
      </c>
      <c r="I553">
        <v>4670</v>
      </c>
      <c r="J553">
        <v>450</v>
      </c>
      <c r="K553">
        <v>538</v>
      </c>
      <c r="L553">
        <v>656</v>
      </c>
      <c r="M553">
        <v>1.35203426124197</v>
      </c>
      <c r="N553" t="s">
        <v>23</v>
      </c>
      <c r="O553">
        <v>0</v>
      </c>
    </row>
    <row r="554" spans="1:15" x14ac:dyDescent="0.35">
      <c r="A554">
        <v>553</v>
      </c>
      <c r="B554" t="s">
        <v>22</v>
      </c>
      <c r="C554" t="s">
        <v>24</v>
      </c>
      <c r="D554" s="1">
        <v>45568</v>
      </c>
      <c r="E554" t="s">
        <v>27</v>
      </c>
      <c r="F554">
        <v>14</v>
      </c>
      <c r="G554">
        <v>99</v>
      </c>
      <c r="H554">
        <v>9</v>
      </c>
      <c r="I554">
        <v>1910</v>
      </c>
      <c r="J554">
        <v>96</v>
      </c>
      <c r="K554">
        <v>454</v>
      </c>
      <c r="L554">
        <v>316</v>
      </c>
      <c r="M554">
        <v>1.45340314136125</v>
      </c>
      <c r="N554" t="s">
        <v>23</v>
      </c>
      <c r="O554">
        <v>0</v>
      </c>
    </row>
    <row r="555" spans="1:15" x14ac:dyDescent="0.35">
      <c r="A555">
        <v>554</v>
      </c>
      <c r="B555" t="s">
        <v>22</v>
      </c>
      <c r="C555" t="s">
        <v>24</v>
      </c>
      <c r="D555" s="1">
        <v>45297</v>
      </c>
      <c r="E555" t="s">
        <v>28</v>
      </c>
      <c r="F555">
        <v>23</v>
      </c>
      <c r="G555">
        <v>24</v>
      </c>
      <c r="H555">
        <v>15</v>
      </c>
      <c r="I555">
        <v>50</v>
      </c>
      <c r="J555">
        <v>540</v>
      </c>
      <c r="K555">
        <v>141</v>
      </c>
      <c r="L555">
        <v>353</v>
      </c>
      <c r="M555">
        <v>21.68</v>
      </c>
      <c r="N555" t="s">
        <v>18</v>
      </c>
      <c r="O555">
        <v>0</v>
      </c>
    </row>
    <row r="556" spans="1:15" x14ac:dyDescent="0.35">
      <c r="A556">
        <v>555</v>
      </c>
      <c r="B556" t="s">
        <v>26</v>
      </c>
      <c r="C556" t="s">
        <v>16</v>
      </c>
      <c r="D556" s="1">
        <v>45536</v>
      </c>
      <c r="E556" t="s">
        <v>20</v>
      </c>
      <c r="F556">
        <v>6</v>
      </c>
      <c r="G556">
        <v>300</v>
      </c>
      <c r="H556">
        <v>11</v>
      </c>
      <c r="I556">
        <v>2504</v>
      </c>
      <c r="J556">
        <v>14</v>
      </c>
      <c r="K556">
        <v>442</v>
      </c>
      <c r="L556">
        <v>300</v>
      </c>
      <c r="M556">
        <v>1.3019169329073399</v>
      </c>
      <c r="N556" t="s">
        <v>23</v>
      </c>
      <c r="O556">
        <v>0</v>
      </c>
    </row>
    <row r="557" spans="1:15" x14ac:dyDescent="0.35">
      <c r="A557">
        <v>556</v>
      </c>
      <c r="B557" t="s">
        <v>15</v>
      </c>
      <c r="C557" t="s">
        <v>16</v>
      </c>
      <c r="D557" s="1">
        <v>45388</v>
      </c>
      <c r="E557" t="s">
        <v>28</v>
      </c>
      <c r="F557">
        <v>18</v>
      </c>
      <c r="G557">
        <v>213</v>
      </c>
      <c r="H557">
        <v>7</v>
      </c>
      <c r="I557">
        <v>3422</v>
      </c>
      <c r="J557">
        <v>579</v>
      </c>
      <c r="K557">
        <v>449</v>
      </c>
      <c r="L557">
        <v>405</v>
      </c>
      <c r="M557">
        <v>1.4187609585037899</v>
      </c>
      <c r="N557" t="s">
        <v>23</v>
      </c>
      <c r="O557">
        <v>0</v>
      </c>
    </row>
    <row r="558" spans="1:15" x14ac:dyDescent="0.35">
      <c r="A558">
        <v>557</v>
      </c>
      <c r="B558" t="s">
        <v>26</v>
      </c>
      <c r="C558" t="s">
        <v>19</v>
      </c>
      <c r="D558" s="1">
        <v>45426</v>
      </c>
      <c r="E558" t="s">
        <v>17</v>
      </c>
      <c r="F558">
        <v>14</v>
      </c>
      <c r="G558">
        <v>165</v>
      </c>
      <c r="H558">
        <v>20</v>
      </c>
      <c r="I558">
        <v>698</v>
      </c>
      <c r="J558">
        <v>437</v>
      </c>
      <c r="K558">
        <v>247</v>
      </c>
      <c r="L558">
        <v>530</v>
      </c>
      <c r="M558">
        <v>2.7392550143266399</v>
      </c>
      <c r="N558" t="s">
        <v>18</v>
      </c>
      <c r="O558">
        <v>0</v>
      </c>
    </row>
    <row r="559" spans="1:15" x14ac:dyDescent="0.35">
      <c r="A559">
        <v>558</v>
      </c>
      <c r="B559" t="s">
        <v>15</v>
      </c>
      <c r="C559" t="s">
        <v>16</v>
      </c>
      <c r="D559" s="1">
        <v>45564</v>
      </c>
      <c r="E559" t="s">
        <v>20</v>
      </c>
      <c r="F559">
        <v>15</v>
      </c>
      <c r="G559">
        <v>76</v>
      </c>
      <c r="H559">
        <v>20</v>
      </c>
      <c r="I559">
        <v>2252</v>
      </c>
      <c r="J559">
        <v>427</v>
      </c>
      <c r="K559">
        <v>194</v>
      </c>
      <c r="L559">
        <v>71</v>
      </c>
      <c r="M559">
        <v>1.30728241563055</v>
      </c>
      <c r="N559" t="s">
        <v>23</v>
      </c>
      <c r="O559">
        <v>0</v>
      </c>
    </row>
    <row r="560" spans="1:15" x14ac:dyDescent="0.35">
      <c r="A560">
        <v>559</v>
      </c>
      <c r="B560" t="s">
        <v>22</v>
      </c>
      <c r="C560" t="s">
        <v>16</v>
      </c>
      <c r="D560" s="1">
        <v>45525</v>
      </c>
      <c r="E560" t="s">
        <v>25</v>
      </c>
      <c r="F560">
        <v>10</v>
      </c>
      <c r="G560">
        <v>45</v>
      </c>
      <c r="H560">
        <v>17</v>
      </c>
      <c r="I560">
        <v>3759</v>
      </c>
      <c r="J560">
        <v>283</v>
      </c>
      <c r="K560">
        <v>505</v>
      </c>
      <c r="L560">
        <v>193</v>
      </c>
      <c r="M560">
        <v>1.2609736632083</v>
      </c>
      <c r="N560" t="s">
        <v>23</v>
      </c>
      <c r="O560">
        <v>0</v>
      </c>
    </row>
    <row r="561" spans="1:15" x14ac:dyDescent="0.35">
      <c r="A561">
        <v>560</v>
      </c>
      <c r="B561" t="s">
        <v>15</v>
      </c>
      <c r="C561" t="s">
        <v>19</v>
      </c>
      <c r="D561" s="1">
        <v>45303</v>
      </c>
      <c r="E561" t="s">
        <v>30</v>
      </c>
      <c r="F561">
        <v>20</v>
      </c>
      <c r="G561">
        <v>24</v>
      </c>
      <c r="H561">
        <v>7</v>
      </c>
      <c r="I561">
        <v>1573</v>
      </c>
      <c r="J561">
        <v>109</v>
      </c>
      <c r="K561">
        <v>290</v>
      </c>
      <c r="L561">
        <v>276</v>
      </c>
      <c r="M561">
        <v>1.42911633820724</v>
      </c>
      <c r="N561" t="s">
        <v>23</v>
      </c>
      <c r="O561">
        <v>0</v>
      </c>
    </row>
    <row r="562" spans="1:15" x14ac:dyDescent="0.35">
      <c r="A562">
        <v>561</v>
      </c>
      <c r="B562" t="s">
        <v>22</v>
      </c>
      <c r="C562" t="s">
        <v>24</v>
      </c>
      <c r="D562" s="1">
        <v>45338</v>
      </c>
      <c r="E562" t="s">
        <v>30</v>
      </c>
      <c r="F562">
        <v>15</v>
      </c>
      <c r="G562">
        <v>275</v>
      </c>
      <c r="H562">
        <v>11</v>
      </c>
      <c r="I562">
        <v>1284</v>
      </c>
      <c r="J562">
        <v>20</v>
      </c>
      <c r="K562">
        <v>507</v>
      </c>
      <c r="L562">
        <v>223</v>
      </c>
      <c r="M562">
        <v>1.58411214953271</v>
      </c>
      <c r="N562" t="s">
        <v>23</v>
      </c>
      <c r="O562">
        <v>0</v>
      </c>
    </row>
    <row r="563" spans="1:15" x14ac:dyDescent="0.35">
      <c r="A563">
        <v>562</v>
      </c>
      <c r="B563" t="s">
        <v>15</v>
      </c>
      <c r="C563" t="s">
        <v>24</v>
      </c>
      <c r="D563" s="1">
        <v>45529</v>
      </c>
      <c r="E563" t="s">
        <v>20</v>
      </c>
      <c r="F563">
        <v>18</v>
      </c>
      <c r="G563">
        <v>56</v>
      </c>
      <c r="H563">
        <v>17</v>
      </c>
      <c r="I563">
        <v>309</v>
      </c>
      <c r="J563">
        <v>343</v>
      </c>
      <c r="K563">
        <v>84</v>
      </c>
      <c r="L563">
        <v>150</v>
      </c>
      <c r="M563">
        <v>2.8673139158576002</v>
      </c>
      <c r="N563" t="s">
        <v>18</v>
      </c>
      <c r="O563">
        <v>0</v>
      </c>
    </row>
    <row r="564" spans="1:15" x14ac:dyDescent="0.35">
      <c r="A564">
        <v>563</v>
      </c>
      <c r="B564" t="s">
        <v>15</v>
      </c>
      <c r="C564" t="s">
        <v>16</v>
      </c>
      <c r="D564" s="1">
        <v>45532</v>
      </c>
      <c r="E564" t="s">
        <v>25</v>
      </c>
      <c r="F564">
        <v>13</v>
      </c>
      <c r="G564">
        <v>217</v>
      </c>
      <c r="H564">
        <v>14</v>
      </c>
      <c r="I564">
        <v>1537</v>
      </c>
      <c r="J564">
        <v>201</v>
      </c>
      <c r="K564">
        <v>258</v>
      </c>
      <c r="L564">
        <v>391</v>
      </c>
      <c r="M564">
        <v>1.5530253741054001</v>
      </c>
      <c r="N564" t="s">
        <v>23</v>
      </c>
      <c r="O564">
        <v>0</v>
      </c>
    </row>
    <row r="565" spans="1:15" x14ac:dyDescent="0.35">
      <c r="A565">
        <v>564</v>
      </c>
      <c r="B565" t="s">
        <v>26</v>
      </c>
      <c r="C565" t="s">
        <v>19</v>
      </c>
      <c r="D565" s="1">
        <v>45418</v>
      </c>
      <c r="E565" t="s">
        <v>29</v>
      </c>
      <c r="F565">
        <v>12</v>
      </c>
      <c r="G565">
        <v>262</v>
      </c>
      <c r="H565">
        <v>12</v>
      </c>
      <c r="I565">
        <v>324</v>
      </c>
      <c r="J565">
        <v>208</v>
      </c>
      <c r="K565">
        <v>473</v>
      </c>
      <c r="L565">
        <v>97</v>
      </c>
      <c r="M565">
        <v>3.4012345679012301</v>
      </c>
      <c r="N565" t="s">
        <v>18</v>
      </c>
      <c r="O565">
        <v>0</v>
      </c>
    </row>
    <row r="566" spans="1:15" x14ac:dyDescent="0.35">
      <c r="A566">
        <v>565</v>
      </c>
      <c r="B566" t="s">
        <v>26</v>
      </c>
      <c r="C566" t="s">
        <v>16</v>
      </c>
      <c r="D566" s="1">
        <v>45451</v>
      </c>
      <c r="E566" t="s">
        <v>28</v>
      </c>
      <c r="F566">
        <v>14</v>
      </c>
      <c r="G566">
        <v>266</v>
      </c>
      <c r="H566">
        <v>20</v>
      </c>
      <c r="I566">
        <v>2696</v>
      </c>
      <c r="J566">
        <v>167</v>
      </c>
      <c r="K566">
        <v>45</v>
      </c>
      <c r="L566">
        <v>563</v>
      </c>
      <c r="M566">
        <v>1.28746290801186</v>
      </c>
      <c r="N566" t="s">
        <v>23</v>
      </c>
      <c r="O566">
        <v>0</v>
      </c>
    </row>
    <row r="567" spans="1:15" x14ac:dyDescent="0.35">
      <c r="A567">
        <v>566</v>
      </c>
      <c r="B567" t="s">
        <v>15</v>
      </c>
      <c r="C567" t="s">
        <v>16</v>
      </c>
      <c r="D567" s="1">
        <v>45444</v>
      </c>
      <c r="E567" t="s">
        <v>28</v>
      </c>
      <c r="F567">
        <v>13</v>
      </c>
      <c r="G567">
        <v>242</v>
      </c>
      <c r="H567">
        <v>10</v>
      </c>
      <c r="I567">
        <v>1677</v>
      </c>
      <c r="J567">
        <v>374</v>
      </c>
      <c r="K567">
        <v>55</v>
      </c>
      <c r="L567">
        <v>683</v>
      </c>
      <c r="M567">
        <v>1.6630888491353599</v>
      </c>
      <c r="N567" t="s">
        <v>21</v>
      </c>
      <c r="O567">
        <v>0</v>
      </c>
    </row>
    <row r="568" spans="1:15" x14ac:dyDescent="0.35">
      <c r="A568">
        <v>567</v>
      </c>
      <c r="B568" t="s">
        <v>22</v>
      </c>
      <c r="C568" t="s">
        <v>16</v>
      </c>
      <c r="D568" s="1">
        <v>45299</v>
      </c>
      <c r="E568" t="s">
        <v>29</v>
      </c>
      <c r="F568">
        <v>6</v>
      </c>
      <c r="G568">
        <v>41</v>
      </c>
      <c r="H568">
        <v>18</v>
      </c>
      <c r="I568">
        <v>1421</v>
      </c>
      <c r="J568">
        <v>287</v>
      </c>
      <c r="K568">
        <v>600</v>
      </c>
      <c r="L568">
        <v>123</v>
      </c>
      <c r="M568">
        <v>1.7107670654468601</v>
      </c>
      <c r="N568" t="s">
        <v>21</v>
      </c>
      <c r="O568">
        <v>0</v>
      </c>
    </row>
    <row r="569" spans="1:15" x14ac:dyDescent="0.35">
      <c r="A569">
        <v>568</v>
      </c>
      <c r="B569" t="s">
        <v>15</v>
      </c>
      <c r="C569" t="s">
        <v>16</v>
      </c>
      <c r="D569" s="1">
        <v>45535</v>
      </c>
      <c r="E569" t="s">
        <v>28</v>
      </c>
      <c r="F569">
        <v>21</v>
      </c>
      <c r="G569">
        <v>66</v>
      </c>
      <c r="H569">
        <v>19</v>
      </c>
      <c r="I569">
        <v>4934</v>
      </c>
      <c r="J569">
        <v>163</v>
      </c>
      <c r="K569">
        <v>382</v>
      </c>
      <c r="L569">
        <v>92</v>
      </c>
      <c r="M569">
        <v>1.1291041751114701</v>
      </c>
      <c r="N569" t="s">
        <v>23</v>
      </c>
      <c r="O569">
        <v>0</v>
      </c>
    </row>
    <row r="570" spans="1:15" x14ac:dyDescent="0.35">
      <c r="A570">
        <v>569</v>
      </c>
      <c r="B570" t="s">
        <v>15</v>
      </c>
      <c r="C570" t="s">
        <v>19</v>
      </c>
      <c r="D570" s="1">
        <v>45465</v>
      </c>
      <c r="E570" t="s">
        <v>28</v>
      </c>
      <c r="F570">
        <v>23</v>
      </c>
      <c r="G570">
        <v>74</v>
      </c>
      <c r="H570">
        <v>4</v>
      </c>
      <c r="I570">
        <v>541</v>
      </c>
      <c r="J570">
        <v>66</v>
      </c>
      <c r="K570">
        <v>366</v>
      </c>
      <c r="L570">
        <v>661</v>
      </c>
      <c r="M570">
        <v>3.0203327171903802</v>
      </c>
      <c r="N570" t="s">
        <v>18</v>
      </c>
      <c r="O570">
        <v>0</v>
      </c>
    </row>
    <row r="571" spans="1:15" x14ac:dyDescent="0.35">
      <c r="A571">
        <v>570</v>
      </c>
      <c r="B571" t="s">
        <v>22</v>
      </c>
      <c r="C571" t="s">
        <v>24</v>
      </c>
      <c r="D571" s="1">
        <v>45541</v>
      </c>
      <c r="E571" t="s">
        <v>30</v>
      </c>
      <c r="F571">
        <v>12</v>
      </c>
      <c r="G571">
        <v>30</v>
      </c>
      <c r="H571">
        <v>12</v>
      </c>
      <c r="I571">
        <v>1956</v>
      </c>
      <c r="J571">
        <v>329</v>
      </c>
      <c r="K571">
        <v>573</v>
      </c>
      <c r="L571">
        <v>661</v>
      </c>
      <c r="M571">
        <v>1.79907975460122</v>
      </c>
      <c r="N571" t="s">
        <v>21</v>
      </c>
      <c r="O571">
        <v>0</v>
      </c>
    </row>
    <row r="572" spans="1:15" x14ac:dyDescent="0.35">
      <c r="A572">
        <v>571</v>
      </c>
      <c r="B572" t="s">
        <v>26</v>
      </c>
      <c r="C572" t="s">
        <v>24</v>
      </c>
      <c r="D572" s="1">
        <v>45475</v>
      </c>
      <c r="E572" t="s">
        <v>17</v>
      </c>
      <c r="F572">
        <v>23</v>
      </c>
      <c r="G572">
        <v>170</v>
      </c>
      <c r="H572">
        <v>17</v>
      </c>
      <c r="I572">
        <v>1153</v>
      </c>
      <c r="J572">
        <v>261</v>
      </c>
      <c r="K572">
        <v>42</v>
      </c>
      <c r="L572">
        <v>497</v>
      </c>
      <c r="M572">
        <v>1.69384215091066</v>
      </c>
      <c r="N572" t="s">
        <v>21</v>
      </c>
      <c r="O572">
        <v>0</v>
      </c>
    </row>
    <row r="573" spans="1:15" x14ac:dyDescent="0.35">
      <c r="A573">
        <v>572</v>
      </c>
      <c r="B573" t="s">
        <v>22</v>
      </c>
      <c r="C573" t="s">
        <v>24</v>
      </c>
      <c r="D573" s="1">
        <v>45542</v>
      </c>
      <c r="E573" t="s">
        <v>28</v>
      </c>
      <c r="F573">
        <v>20</v>
      </c>
      <c r="G573">
        <v>160</v>
      </c>
      <c r="H573">
        <v>19</v>
      </c>
      <c r="I573">
        <v>1604</v>
      </c>
      <c r="J573">
        <v>585</v>
      </c>
      <c r="K573">
        <v>193</v>
      </c>
      <c r="L573">
        <v>557</v>
      </c>
      <c r="M573">
        <v>1.83229426433915</v>
      </c>
      <c r="N573" t="s">
        <v>21</v>
      </c>
      <c r="O573">
        <v>0</v>
      </c>
    </row>
    <row r="574" spans="1:15" x14ac:dyDescent="0.35">
      <c r="A574">
        <v>573</v>
      </c>
      <c r="B574" t="s">
        <v>22</v>
      </c>
      <c r="C574" t="s">
        <v>24</v>
      </c>
      <c r="D574" s="1">
        <v>45575</v>
      </c>
      <c r="E574" t="s">
        <v>27</v>
      </c>
      <c r="F574">
        <v>14</v>
      </c>
      <c r="G574">
        <v>297</v>
      </c>
      <c r="H574">
        <v>11</v>
      </c>
      <c r="I574">
        <v>1363</v>
      </c>
      <c r="J574">
        <v>75</v>
      </c>
      <c r="K574">
        <v>545</v>
      </c>
      <c r="L574">
        <v>159</v>
      </c>
      <c r="M574">
        <v>1.5715333822450399</v>
      </c>
      <c r="N574" t="s">
        <v>23</v>
      </c>
      <c r="O574">
        <v>0</v>
      </c>
    </row>
    <row r="575" spans="1:15" x14ac:dyDescent="0.35">
      <c r="A575">
        <v>574</v>
      </c>
      <c r="B575" t="s">
        <v>26</v>
      </c>
      <c r="C575" t="s">
        <v>16</v>
      </c>
      <c r="D575" s="1">
        <v>45524</v>
      </c>
      <c r="E575" t="s">
        <v>17</v>
      </c>
      <c r="F575">
        <v>6</v>
      </c>
      <c r="G575">
        <v>206</v>
      </c>
      <c r="H575">
        <v>19</v>
      </c>
      <c r="I575">
        <v>55</v>
      </c>
      <c r="J575">
        <v>799</v>
      </c>
      <c r="K575">
        <v>520</v>
      </c>
      <c r="L575">
        <v>389</v>
      </c>
      <c r="M575">
        <v>32.054545454545398</v>
      </c>
      <c r="N575" t="s">
        <v>18</v>
      </c>
      <c r="O575">
        <v>0</v>
      </c>
    </row>
    <row r="576" spans="1:15" x14ac:dyDescent="0.35">
      <c r="A576">
        <v>575</v>
      </c>
      <c r="B576" t="s">
        <v>26</v>
      </c>
      <c r="C576" t="s">
        <v>24</v>
      </c>
      <c r="D576" s="1">
        <v>45414</v>
      </c>
      <c r="E576" t="s">
        <v>27</v>
      </c>
      <c r="F576">
        <v>12</v>
      </c>
      <c r="G576">
        <v>288</v>
      </c>
      <c r="H576">
        <v>15</v>
      </c>
      <c r="I576">
        <v>2677</v>
      </c>
      <c r="J576">
        <v>743</v>
      </c>
      <c r="K576">
        <v>66</v>
      </c>
      <c r="L576">
        <v>675</v>
      </c>
      <c r="M576">
        <v>1.5543518864400401</v>
      </c>
      <c r="N576" t="s">
        <v>23</v>
      </c>
      <c r="O576">
        <v>0</v>
      </c>
    </row>
    <row r="577" spans="1:15" x14ac:dyDescent="0.35">
      <c r="A577">
        <v>576</v>
      </c>
      <c r="B577" t="s">
        <v>22</v>
      </c>
      <c r="C577" t="s">
        <v>19</v>
      </c>
      <c r="D577" s="1">
        <v>45574</v>
      </c>
      <c r="E577" t="s">
        <v>25</v>
      </c>
      <c r="F577">
        <v>16</v>
      </c>
      <c r="G577">
        <v>76</v>
      </c>
      <c r="H577">
        <v>3</v>
      </c>
      <c r="I577">
        <v>1312</v>
      </c>
      <c r="J577">
        <v>632</v>
      </c>
      <c r="K577">
        <v>291</v>
      </c>
      <c r="L577">
        <v>331</v>
      </c>
      <c r="M577">
        <v>1.95579268292682</v>
      </c>
      <c r="N577" t="s">
        <v>21</v>
      </c>
      <c r="O577">
        <v>0</v>
      </c>
    </row>
    <row r="578" spans="1:15" x14ac:dyDescent="0.35">
      <c r="A578">
        <v>577</v>
      </c>
      <c r="B578" t="s">
        <v>15</v>
      </c>
      <c r="C578" t="s">
        <v>16</v>
      </c>
      <c r="D578" s="1">
        <v>45559</v>
      </c>
      <c r="E578" t="s">
        <v>17</v>
      </c>
      <c r="F578">
        <v>9</v>
      </c>
      <c r="G578">
        <v>268</v>
      </c>
      <c r="H578">
        <v>6</v>
      </c>
      <c r="I578">
        <v>596</v>
      </c>
      <c r="J578">
        <v>49</v>
      </c>
      <c r="K578">
        <v>134</v>
      </c>
      <c r="L578">
        <v>183</v>
      </c>
      <c r="M578">
        <v>1.61409395973154</v>
      </c>
      <c r="N578" t="s">
        <v>21</v>
      </c>
      <c r="O578">
        <v>0</v>
      </c>
    </row>
    <row r="579" spans="1:15" x14ac:dyDescent="0.35">
      <c r="A579">
        <v>578</v>
      </c>
      <c r="B579" t="s">
        <v>22</v>
      </c>
      <c r="C579" t="s">
        <v>19</v>
      </c>
      <c r="D579" s="1">
        <v>45342</v>
      </c>
      <c r="E579" t="s">
        <v>17</v>
      </c>
      <c r="F579">
        <v>14</v>
      </c>
      <c r="G579">
        <v>45</v>
      </c>
      <c r="H579">
        <v>11</v>
      </c>
      <c r="I579">
        <v>310</v>
      </c>
      <c r="J579">
        <v>589</v>
      </c>
      <c r="K579">
        <v>399</v>
      </c>
      <c r="L579">
        <v>674</v>
      </c>
      <c r="M579">
        <v>6.3612903225806399</v>
      </c>
      <c r="N579" t="s">
        <v>18</v>
      </c>
      <c r="O579">
        <v>0</v>
      </c>
    </row>
    <row r="580" spans="1:15" x14ac:dyDescent="0.35">
      <c r="A580">
        <v>579</v>
      </c>
      <c r="B580" t="s">
        <v>22</v>
      </c>
      <c r="C580" t="s">
        <v>16</v>
      </c>
      <c r="D580" s="1">
        <v>45405</v>
      </c>
      <c r="E580" t="s">
        <v>17</v>
      </c>
      <c r="F580">
        <v>20</v>
      </c>
      <c r="G580">
        <v>51</v>
      </c>
      <c r="H580">
        <v>11</v>
      </c>
      <c r="I580">
        <v>630</v>
      </c>
      <c r="J580">
        <v>18</v>
      </c>
      <c r="K580">
        <v>215</v>
      </c>
      <c r="L580">
        <v>672</v>
      </c>
      <c r="M580">
        <v>2.4365079365079301</v>
      </c>
      <c r="N580" t="s">
        <v>18</v>
      </c>
      <c r="O580">
        <v>0</v>
      </c>
    </row>
    <row r="581" spans="1:15" x14ac:dyDescent="0.35">
      <c r="A581">
        <v>580</v>
      </c>
      <c r="B581" t="s">
        <v>22</v>
      </c>
      <c r="C581" t="s">
        <v>19</v>
      </c>
      <c r="D581" s="1">
        <v>45577</v>
      </c>
      <c r="E581" t="s">
        <v>28</v>
      </c>
      <c r="F581">
        <v>7</v>
      </c>
      <c r="G581">
        <v>56</v>
      </c>
      <c r="H581">
        <v>9</v>
      </c>
      <c r="I581">
        <v>3457</v>
      </c>
      <c r="J581">
        <v>382</v>
      </c>
      <c r="K581">
        <v>61</v>
      </c>
      <c r="L581">
        <v>632</v>
      </c>
      <c r="M581">
        <v>1.3109632629447501</v>
      </c>
      <c r="N581" t="s">
        <v>23</v>
      </c>
      <c r="O581">
        <v>0</v>
      </c>
    </row>
    <row r="582" spans="1:15" x14ac:dyDescent="0.35">
      <c r="A582">
        <v>581</v>
      </c>
      <c r="B582" t="s">
        <v>26</v>
      </c>
      <c r="C582" t="s">
        <v>16</v>
      </c>
      <c r="D582" s="1">
        <v>45331</v>
      </c>
      <c r="E582" t="s">
        <v>30</v>
      </c>
      <c r="F582">
        <v>23</v>
      </c>
      <c r="G582">
        <v>217</v>
      </c>
      <c r="H582">
        <v>6</v>
      </c>
      <c r="I582">
        <v>1818</v>
      </c>
      <c r="J582">
        <v>536</v>
      </c>
      <c r="K582">
        <v>101</v>
      </c>
      <c r="L582">
        <v>104</v>
      </c>
      <c r="M582">
        <v>1.4075907590759</v>
      </c>
      <c r="N582" t="s">
        <v>23</v>
      </c>
      <c r="O582">
        <v>0</v>
      </c>
    </row>
    <row r="583" spans="1:15" x14ac:dyDescent="0.35">
      <c r="A583">
        <v>582</v>
      </c>
      <c r="B583" t="s">
        <v>26</v>
      </c>
      <c r="C583" t="s">
        <v>16</v>
      </c>
      <c r="D583" s="1">
        <v>45390</v>
      </c>
      <c r="E583" t="s">
        <v>29</v>
      </c>
      <c r="F583">
        <v>23</v>
      </c>
      <c r="G583">
        <v>232</v>
      </c>
      <c r="H583">
        <v>3</v>
      </c>
      <c r="I583">
        <v>4360</v>
      </c>
      <c r="J583">
        <v>677</v>
      </c>
      <c r="K583">
        <v>256</v>
      </c>
      <c r="L583">
        <v>584</v>
      </c>
      <c r="M583">
        <v>1.3479357798165099</v>
      </c>
      <c r="N583" t="s">
        <v>23</v>
      </c>
      <c r="O583">
        <v>0</v>
      </c>
    </row>
    <row r="584" spans="1:15" x14ac:dyDescent="0.35">
      <c r="A584">
        <v>583</v>
      </c>
      <c r="B584" t="s">
        <v>22</v>
      </c>
      <c r="C584" t="s">
        <v>16</v>
      </c>
      <c r="D584" s="1">
        <v>45587</v>
      </c>
      <c r="E584" t="s">
        <v>17</v>
      </c>
      <c r="F584">
        <v>11</v>
      </c>
      <c r="G584">
        <v>112</v>
      </c>
      <c r="H584">
        <v>17</v>
      </c>
      <c r="I584">
        <v>2982</v>
      </c>
      <c r="J584">
        <v>695</v>
      </c>
      <c r="K584">
        <v>471</v>
      </c>
      <c r="L584">
        <v>682</v>
      </c>
      <c r="M584">
        <v>1.6197183098591501</v>
      </c>
      <c r="N584" t="s">
        <v>21</v>
      </c>
      <c r="O584">
        <v>0</v>
      </c>
    </row>
    <row r="585" spans="1:15" x14ac:dyDescent="0.35">
      <c r="A585">
        <v>584</v>
      </c>
      <c r="B585" t="s">
        <v>26</v>
      </c>
      <c r="C585" t="s">
        <v>24</v>
      </c>
      <c r="D585" s="1">
        <v>45497</v>
      </c>
      <c r="E585" t="s">
        <v>25</v>
      </c>
      <c r="F585">
        <v>17</v>
      </c>
      <c r="G585">
        <v>181</v>
      </c>
      <c r="H585">
        <v>17</v>
      </c>
      <c r="I585">
        <v>4184</v>
      </c>
      <c r="J585">
        <v>350</v>
      </c>
      <c r="K585">
        <v>163</v>
      </c>
      <c r="L585">
        <v>547</v>
      </c>
      <c r="M585">
        <v>1.25334608030592</v>
      </c>
      <c r="N585" t="s">
        <v>23</v>
      </c>
      <c r="O585">
        <v>0</v>
      </c>
    </row>
    <row r="586" spans="1:15" x14ac:dyDescent="0.35">
      <c r="A586">
        <v>585</v>
      </c>
      <c r="B586" t="s">
        <v>26</v>
      </c>
      <c r="C586" t="s">
        <v>16</v>
      </c>
      <c r="D586" s="1">
        <v>45458</v>
      </c>
      <c r="E586" t="s">
        <v>28</v>
      </c>
      <c r="F586">
        <v>23</v>
      </c>
      <c r="G586">
        <v>129</v>
      </c>
      <c r="H586">
        <v>12</v>
      </c>
      <c r="I586">
        <v>3095</v>
      </c>
      <c r="J586">
        <v>427</v>
      </c>
      <c r="K586">
        <v>442</v>
      </c>
      <c r="L586">
        <v>332</v>
      </c>
      <c r="M586">
        <v>1.3880452342487799</v>
      </c>
      <c r="N586" t="s">
        <v>23</v>
      </c>
      <c r="O586">
        <v>0</v>
      </c>
    </row>
    <row r="587" spans="1:15" x14ac:dyDescent="0.35">
      <c r="A587">
        <v>586</v>
      </c>
      <c r="B587" t="s">
        <v>22</v>
      </c>
      <c r="C587" t="s">
        <v>16</v>
      </c>
      <c r="D587" s="1">
        <v>45573</v>
      </c>
      <c r="E587" t="s">
        <v>17</v>
      </c>
      <c r="F587">
        <v>7</v>
      </c>
      <c r="G587">
        <v>165</v>
      </c>
      <c r="H587">
        <v>19</v>
      </c>
      <c r="I587">
        <v>2131</v>
      </c>
      <c r="J587">
        <v>373</v>
      </c>
      <c r="K587">
        <v>465</v>
      </c>
      <c r="L587">
        <v>459</v>
      </c>
      <c r="M587">
        <v>1.60863444392304</v>
      </c>
      <c r="N587" t="s">
        <v>21</v>
      </c>
      <c r="O587">
        <v>0</v>
      </c>
    </row>
    <row r="588" spans="1:15" x14ac:dyDescent="0.35">
      <c r="A588">
        <v>587</v>
      </c>
      <c r="B588" t="s">
        <v>22</v>
      </c>
      <c r="C588" t="s">
        <v>16</v>
      </c>
      <c r="D588" s="1">
        <v>45300</v>
      </c>
      <c r="E588" t="s">
        <v>17</v>
      </c>
      <c r="F588">
        <v>12</v>
      </c>
      <c r="G588">
        <v>181</v>
      </c>
      <c r="H588">
        <v>0</v>
      </c>
      <c r="I588">
        <v>4290</v>
      </c>
      <c r="J588">
        <v>143</v>
      </c>
      <c r="K588">
        <v>311</v>
      </c>
      <c r="L588">
        <v>7</v>
      </c>
      <c r="M588">
        <v>1.1074592074592</v>
      </c>
      <c r="N588" t="s">
        <v>23</v>
      </c>
      <c r="O588">
        <v>0</v>
      </c>
    </row>
    <row r="589" spans="1:15" x14ac:dyDescent="0.35">
      <c r="A589">
        <v>588</v>
      </c>
      <c r="B589" t="s">
        <v>26</v>
      </c>
      <c r="C589" t="s">
        <v>16</v>
      </c>
      <c r="D589" s="1">
        <v>45433</v>
      </c>
      <c r="E589" t="s">
        <v>17</v>
      </c>
      <c r="F589">
        <v>9</v>
      </c>
      <c r="G589">
        <v>39</v>
      </c>
      <c r="H589">
        <v>14</v>
      </c>
      <c r="I589">
        <v>4585</v>
      </c>
      <c r="J589">
        <v>528</v>
      </c>
      <c r="K589">
        <v>571</v>
      </c>
      <c r="L589">
        <v>585</v>
      </c>
      <c r="M589">
        <v>1.3672846237731699</v>
      </c>
      <c r="N589" t="s">
        <v>23</v>
      </c>
      <c r="O589">
        <v>0</v>
      </c>
    </row>
    <row r="590" spans="1:15" x14ac:dyDescent="0.35">
      <c r="A590">
        <v>589</v>
      </c>
      <c r="B590" t="s">
        <v>26</v>
      </c>
      <c r="C590" t="s">
        <v>16</v>
      </c>
      <c r="D590" s="1">
        <v>45474</v>
      </c>
      <c r="E590" t="s">
        <v>29</v>
      </c>
      <c r="F590">
        <v>13</v>
      </c>
      <c r="G590">
        <v>151</v>
      </c>
      <c r="H590">
        <v>9</v>
      </c>
      <c r="I590">
        <v>1328</v>
      </c>
      <c r="J590">
        <v>146</v>
      </c>
      <c r="K590">
        <v>273</v>
      </c>
      <c r="L590">
        <v>376</v>
      </c>
      <c r="M590">
        <v>1.5986445783132499</v>
      </c>
      <c r="N590" t="s">
        <v>23</v>
      </c>
      <c r="O590">
        <v>0</v>
      </c>
    </row>
    <row r="591" spans="1:15" x14ac:dyDescent="0.35">
      <c r="A591">
        <v>590</v>
      </c>
      <c r="B591" t="s">
        <v>26</v>
      </c>
      <c r="C591" t="s">
        <v>16</v>
      </c>
      <c r="D591" s="1">
        <v>45339</v>
      </c>
      <c r="E591" t="s">
        <v>28</v>
      </c>
      <c r="F591">
        <v>16</v>
      </c>
      <c r="G591">
        <v>267</v>
      </c>
      <c r="H591">
        <v>5</v>
      </c>
      <c r="I591">
        <v>4723</v>
      </c>
      <c r="J591">
        <v>414</v>
      </c>
      <c r="K591">
        <v>584</v>
      </c>
      <c r="L591">
        <v>223</v>
      </c>
      <c r="M591">
        <v>1.2585221257675201</v>
      </c>
      <c r="N591" t="s">
        <v>23</v>
      </c>
      <c r="O591">
        <v>0</v>
      </c>
    </row>
    <row r="592" spans="1:15" x14ac:dyDescent="0.35">
      <c r="A592">
        <v>591</v>
      </c>
      <c r="B592" t="s">
        <v>26</v>
      </c>
      <c r="C592" t="s">
        <v>19</v>
      </c>
      <c r="D592" s="1">
        <v>45541</v>
      </c>
      <c r="E592" t="s">
        <v>30</v>
      </c>
      <c r="F592">
        <v>18</v>
      </c>
      <c r="G592">
        <v>60</v>
      </c>
      <c r="H592">
        <v>1</v>
      </c>
      <c r="I592">
        <v>4770</v>
      </c>
      <c r="J592">
        <v>102</v>
      </c>
      <c r="K592">
        <v>309</v>
      </c>
      <c r="L592">
        <v>39</v>
      </c>
      <c r="M592">
        <v>1.0943396226415001</v>
      </c>
      <c r="N592" t="s">
        <v>23</v>
      </c>
      <c r="O592">
        <v>0</v>
      </c>
    </row>
    <row r="593" spans="1:15" x14ac:dyDescent="0.35">
      <c r="A593">
        <v>592</v>
      </c>
      <c r="B593" t="s">
        <v>15</v>
      </c>
      <c r="C593" t="s">
        <v>19</v>
      </c>
      <c r="D593" s="1">
        <v>45463</v>
      </c>
      <c r="E593" t="s">
        <v>27</v>
      </c>
      <c r="F593">
        <v>6</v>
      </c>
      <c r="G593">
        <v>215</v>
      </c>
      <c r="H593">
        <v>1</v>
      </c>
      <c r="I593">
        <v>2900</v>
      </c>
      <c r="J593">
        <v>449</v>
      </c>
      <c r="K593">
        <v>428</v>
      </c>
      <c r="L593">
        <v>124</v>
      </c>
      <c r="M593">
        <v>1.3451724137931</v>
      </c>
      <c r="N593" t="s">
        <v>23</v>
      </c>
      <c r="O593">
        <v>0</v>
      </c>
    </row>
    <row r="594" spans="1:15" x14ac:dyDescent="0.35">
      <c r="A594">
        <v>593</v>
      </c>
      <c r="B594" t="s">
        <v>26</v>
      </c>
      <c r="C594" t="s">
        <v>16</v>
      </c>
      <c r="D594" s="1">
        <v>45448</v>
      </c>
      <c r="E594" t="s">
        <v>25</v>
      </c>
      <c r="F594">
        <v>16</v>
      </c>
      <c r="G594">
        <v>277</v>
      </c>
      <c r="H594">
        <v>7</v>
      </c>
      <c r="I594">
        <v>4345</v>
      </c>
      <c r="J594">
        <v>47</v>
      </c>
      <c r="K594">
        <v>328</v>
      </c>
      <c r="L594">
        <v>553</v>
      </c>
      <c r="M594">
        <v>1.2135788262370499</v>
      </c>
      <c r="N594" t="s">
        <v>23</v>
      </c>
      <c r="O594">
        <v>0</v>
      </c>
    </row>
    <row r="595" spans="1:15" x14ac:dyDescent="0.35">
      <c r="A595">
        <v>594</v>
      </c>
      <c r="B595" t="s">
        <v>26</v>
      </c>
      <c r="C595" t="s">
        <v>19</v>
      </c>
      <c r="D595" s="1">
        <v>45370</v>
      </c>
      <c r="E595" t="s">
        <v>17</v>
      </c>
      <c r="F595">
        <v>22</v>
      </c>
      <c r="G595">
        <v>66</v>
      </c>
      <c r="H595">
        <v>7</v>
      </c>
      <c r="I595">
        <v>463</v>
      </c>
      <c r="J595">
        <v>694</v>
      </c>
      <c r="K595">
        <v>404</v>
      </c>
      <c r="L595">
        <v>457</v>
      </c>
      <c r="M595">
        <v>4.3585313174945997</v>
      </c>
      <c r="N595" t="s">
        <v>18</v>
      </c>
      <c r="O595">
        <v>0</v>
      </c>
    </row>
    <row r="596" spans="1:15" x14ac:dyDescent="0.35">
      <c r="A596">
        <v>595</v>
      </c>
      <c r="B596" t="s">
        <v>22</v>
      </c>
      <c r="C596" t="s">
        <v>16</v>
      </c>
      <c r="D596" s="1">
        <v>45513</v>
      </c>
      <c r="E596" t="s">
        <v>30</v>
      </c>
      <c r="F596">
        <v>21</v>
      </c>
      <c r="G596">
        <v>45</v>
      </c>
      <c r="H596">
        <v>17</v>
      </c>
      <c r="I596">
        <v>2423</v>
      </c>
      <c r="J596">
        <v>408</v>
      </c>
      <c r="K596">
        <v>153</v>
      </c>
      <c r="L596">
        <v>136</v>
      </c>
      <c r="M596">
        <v>1.2876599257119199</v>
      </c>
      <c r="N596" t="s">
        <v>23</v>
      </c>
      <c r="O596">
        <v>0</v>
      </c>
    </row>
    <row r="597" spans="1:15" x14ac:dyDescent="0.35">
      <c r="A597">
        <v>596</v>
      </c>
      <c r="B597" t="s">
        <v>22</v>
      </c>
      <c r="C597" t="s">
        <v>19</v>
      </c>
      <c r="D597" s="1">
        <v>45496</v>
      </c>
      <c r="E597" t="s">
        <v>17</v>
      </c>
      <c r="F597">
        <v>10</v>
      </c>
      <c r="G597">
        <v>89</v>
      </c>
      <c r="H597">
        <v>15</v>
      </c>
      <c r="I597">
        <v>2200</v>
      </c>
      <c r="J597">
        <v>92</v>
      </c>
      <c r="K597">
        <v>410</v>
      </c>
      <c r="L597">
        <v>514</v>
      </c>
      <c r="M597">
        <v>1.4618181818181799</v>
      </c>
      <c r="N597" t="s">
        <v>23</v>
      </c>
      <c r="O597">
        <v>0</v>
      </c>
    </row>
    <row r="598" spans="1:15" x14ac:dyDescent="0.35">
      <c r="A598">
        <v>597</v>
      </c>
      <c r="B598" t="s">
        <v>26</v>
      </c>
      <c r="C598" t="s">
        <v>16</v>
      </c>
      <c r="D598" s="1">
        <v>45578</v>
      </c>
      <c r="E598" t="s">
        <v>20</v>
      </c>
      <c r="F598">
        <v>23</v>
      </c>
      <c r="G598">
        <v>288</v>
      </c>
      <c r="H598">
        <v>7</v>
      </c>
      <c r="I598">
        <v>1672</v>
      </c>
      <c r="J598">
        <v>504</v>
      </c>
      <c r="K598">
        <v>406</v>
      </c>
      <c r="L598">
        <v>668</v>
      </c>
      <c r="M598">
        <v>1.9437799043062201</v>
      </c>
      <c r="N598" t="s">
        <v>21</v>
      </c>
      <c r="O598">
        <v>0</v>
      </c>
    </row>
    <row r="599" spans="1:15" x14ac:dyDescent="0.35">
      <c r="A599">
        <v>598</v>
      </c>
      <c r="B599" t="s">
        <v>26</v>
      </c>
      <c r="C599" t="s">
        <v>19</v>
      </c>
      <c r="D599" s="1">
        <v>45416</v>
      </c>
      <c r="E599" t="s">
        <v>28</v>
      </c>
      <c r="F599">
        <v>8</v>
      </c>
      <c r="G599">
        <v>77</v>
      </c>
      <c r="H599">
        <v>13</v>
      </c>
      <c r="I599">
        <v>636</v>
      </c>
      <c r="J599">
        <v>277</v>
      </c>
      <c r="K599">
        <v>442</v>
      </c>
      <c r="L599">
        <v>332</v>
      </c>
      <c r="M599">
        <v>2.6525157232704402</v>
      </c>
      <c r="N599" t="s">
        <v>18</v>
      </c>
      <c r="O599">
        <v>0</v>
      </c>
    </row>
    <row r="600" spans="1:15" x14ac:dyDescent="0.35">
      <c r="A600">
        <v>599</v>
      </c>
      <c r="B600" t="s">
        <v>22</v>
      </c>
      <c r="C600" t="s">
        <v>19</v>
      </c>
      <c r="D600" s="1">
        <v>45508</v>
      </c>
      <c r="E600" t="s">
        <v>20</v>
      </c>
      <c r="F600">
        <v>6</v>
      </c>
      <c r="G600">
        <v>176</v>
      </c>
      <c r="H600">
        <v>5</v>
      </c>
      <c r="I600">
        <v>3042</v>
      </c>
      <c r="J600">
        <v>361</v>
      </c>
      <c r="K600">
        <v>197</v>
      </c>
      <c r="L600">
        <v>329</v>
      </c>
      <c r="M600">
        <v>1.29158448389217</v>
      </c>
      <c r="N600" t="s">
        <v>23</v>
      </c>
      <c r="O600">
        <v>0</v>
      </c>
    </row>
    <row r="601" spans="1:15" x14ac:dyDescent="0.35">
      <c r="A601">
        <v>600</v>
      </c>
      <c r="B601" t="s">
        <v>15</v>
      </c>
      <c r="C601" t="s">
        <v>16</v>
      </c>
      <c r="D601" s="1">
        <v>45471</v>
      </c>
      <c r="E601" t="s">
        <v>30</v>
      </c>
      <c r="F601">
        <v>12</v>
      </c>
      <c r="G601">
        <v>211</v>
      </c>
      <c r="H601">
        <v>4</v>
      </c>
      <c r="I601">
        <v>3672</v>
      </c>
      <c r="J601">
        <v>643</v>
      </c>
      <c r="K601">
        <v>151</v>
      </c>
      <c r="L601">
        <v>452</v>
      </c>
      <c r="M601">
        <v>1.3393246187363801</v>
      </c>
      <c r="N601" t="s">
        <v>23</v>
      </c>
      <c r="O601">
        <v>0</v>
      </c>
    </row>
    <row r="602" spans="1:15" x14ac:dyDescent="0.35">
      <c r="A602">
        <v>601</v>
      </c>
      <c r="B602" t="s">
        <v>26</v>
      </c>
      <c r="C602" t="s">
        <v>16</v>
      </c>
      <c r="D602" s="1">
        <v>45335</v>
      </c>
      <c r="E602" t="s">
        <v>17</v>
      </c>
      <c r="F602">
        <v>15</v>
      </c>
      <c r="G602">
        <v>27</v>
      </c>
      <c r="H602">
        <v>10</v>
      </c>
      <c r="I602">
        <v>970</v>
      </c>
      <c r="J602">
        <v>762</v>
      </c>
      <c r="K602">
        <v>57</v>
      </c>
      <c r="L602">
        <v>249</v>
      </c>
      <c r="M602">
        <v>2.1010309278350499</v>
      </c>
      <c r="N602" t="s">
        <v>21</v>
      </c>
      <c r="O602">
        <v>0</v>
      </c>
    </row>
    <row r="603" spans="1:15" x14ac:dyDescent="0.35">
      <c r="A603">
        <v>602</v>
      </c>
      <c r="B603" t="s">
        <v>22</v>
      </c>
      <c r="C603" t="s">
        <v>16</v>
      </c>
      <c r="D603" s="1">
        <v>45348</v>
      </c>
      <c r="E603" t="s">
        <v>29</v>
      </c>
      <c r="F603">
        <v>23</v>
      </c>
      <c r="G603">
        <v>128</v>
      </c>
      <c r="H603">
        <v>6</v>
      </c>
      <c r="I603">
        <v>2549</v>
      </c>
      <c r="J603">
        <v>465</v>
      </c>
      <c r="K603">
        <v>484</v>
      </c>
      <c r="L603">
        <v>24</v>
      </c>
      <c r="M603">
        <v>1.38171832091016</v>
      </c>
      <c r="N603" t="s">
        <v>23</v>
      </c>
      <c r="O603">
        <v>0</v>
      </c>
    </row>
    <row r="604" spans="1:15" x14ac:dyDescent="0.35">
      <c r="A604">
        <v>603</v>
      </c>
      <c r="B604" t="s">
        <v>22</v>
      </c>
      <c r="C604" t="s">
        <v>19</v>
      </c>
      <c r="D604" s="1">
        <v>45571</v>
      </c>
      <c r="E604" t="s">
        <v>20</v>
      </c>
      <c r="F604">
        <v>10</v>
      </c>
      <c r="G604">
        <v>29</v>
      </c>
      <c r="H604">
        <v>12</v>
      </c>
      <c r="I604">
        <v>4336</v>
      </c>
      <c r="J604">
        <v>773</v>
      </c>
      <c r="K604">
        <v>266</v>
      </c>
      <c r="L604">
        <v>562</v>
      </c>
      <c r="M604">
        <v>1.36923431734317</v>
      </c>
      <c r="N604" t="s">
        <v>23</v>
      </c>
      <c r="O604">
        <v>0</v>
      </c>
    </row>
    <row r="605" spans="1:15" x14ac:dyDescent="0.35">
      <c r="A605">
        <v>604</v>
      </c>
      <c r="B605" t="s">
        <v>15</v>
      </c>
      <c r="C605" t="s">
        <v>24</v>
      </c>
      <c r="D605" s="1">
        <v>45590</v>
      </c>
      <c r="E605" t="s">
        <v>30</v>
      </c>
      <c r="F605">
        <v>12</v>
      </c>
      <c r="G605">
        <v>158</v>
      </c>
      <c r="H605">
        <v>1</v>
      </c>
      <c r="I605">
        <v>4365</v>
      </c>
      <c r="J605">
        <v>49</v>
      </c>
      <c r="K605">
        <v>263</v>
      </c>
      <c r="L605">
        <v>175</v>
      </c>
      <c r="M605">
        <v>1.1115693012600201</v>
      </c>
      <c r="N605" t="s">
        <v>23</v>
      </c>
      <c r="O605">
        <v>0</v>
      </c>
    </row>
    <row r="606" spans="1:15" x14ac:dyDescent="0.35">
      <c r="A606">
        <v>605</v>
      </c>
      <c r="B606" t="s">
        <v>22</v>
      </c>
      <c r="C606" t="s">
        <v>19</v>
      </c>
      <c r="D606" s="1">
        <v>45530</v>
      </c>
      <c r="E606" t="s">
        <v>29</v>
      </c>
      <c r="F606">
        <v>17</v>
      </c>
      <c r="G606">
        <v>75</v>
      </c>
      <c r="H606">
        <v>0</v>
      </c>
      <c r="I606">
        <v>118</v>
      </c>
      <c r="J606">
        <v>73</v>
      </c>
      <c r="K606">
        <v>399</v>
      </c>
      <c r="L606">
        <v>677</v>
      </c>
      <c r="M606">
        <v>10.7372881355932</v>
      </c>
      <c r="N606" t="s">
        <v>18</v>
      </c>
      <c r="O606">
        <v>0</v>
      </c>
    </row>
    <row r="607" spans="1:15" x14ac:dyDescent="0.35">
      <c r="A607">
        <v>606</v>
      </c>
      <c r="B607" t="s">
        <v>26</v>
      </c>
      <c r="C607" t="s">
        <v>16</v>
      </c>
      <c r="D607" s="1">
        <v>45441</v>
      </c>
      <c r="E607" t="s">
        <v>25</v>
      </c>
      <c r="F607">
        <v>16</v>
      </c>
      <c r="G607">
        <v>268</v>
      </c>
      <c r="H607">
        <v>19</v>
      </c>
      <c r="I607">
        <v>3216</v>
      </c>
      <c r="J607">
        <v>241</v>
      </c>
      <c r="K607">
        <v>391</v>
      </c>
      <c r="L607">
        <v>521</v>
      </c>
      <c r="M607">
        <v>1.3585199004975099</v>
      </c>
      <c r="N607" t="s">
        <v>23</v>
      </c>
      <c r="O607">
        <v>0</v>
      </c>
    </row>
    <row r="608" spans="1:15" x14ac:dyDescent="0.35">
      <c r="A608">
        <v>607</v>
      </c>
      <c r="B608" t="s">
        <v>22</v>
      </c>
      <c r="C608" t="s">
        <v>19</v>
      </c>
      <c r="D608" s="1">
        <v>45564</v>
      </c>
      <c r="E608" t="s">
        <v>20</v>
      </c>
      <c r="F608">
        <v>6</v>
      </c>
      <c r="G608">
        <v>40</v>
      </c>
      <c r="H608">
        <v>7</v>
      </c>
      <c r="I608">
        <v>771</v>
      </c>
      <c r="J608">
        <v>195</v>
      </c>
      <c r="K608">
        <v>205</v>
      </c>
      <c r="L608">
        <v>513</v>
      </c>
      <c r="M608">
        <v>2.1841763942931198</v>
      </c>
      <c r="N608" t="s">
        <v>21</v>
      </c>
      <c r="O608">
        <v>0</v>
      </c>
    </row>
    <row r="609" spans="1:15" x14ac:dyDescent="0.35">
      <c r="A609">
        <v>608</v>
      </c>
      <c r="B609" t="s">
        <v>26</v>
      </c>
      <c r="C609" t="s">
        <v>16</v>
      </c>
      <c r="D609" s="1">
        <v>45563</v>
      </c>
      <c r="E609" t="s">
        <v>28</v>
      </c>
      <c r="F609">
        <v>6</v>
      </c>
      <c r="G609">
        <v>197</v>
      </c>
      <c r="H609">
        <v>11</v>
      </c>
      <c r="I609">
        <v>2547</v>
      </c>
      <c r="J609">
        <v>346</v>
      </c>
      <c r="K609">
        <v>503</v>
      </c>
      <c r="L609">
        <v>403</v>
      </c>
      <c r="M609">
        <v>1.49155869650569</v>
      </c>
      <c r="N609" t="s">
        <v>23</v>
      </c>
      <c r="O609">
        <v>0</v>
      </c>
    </row>
    <row r="610" spans="1:15" x14ac:dyDescent="0.35">
      <c r="A610">
        <v>609</v>
      </c>
      <c r="B610" t="s">
        <v>15</v>
      </c>
      <c r="C610" t="s">
        <v>19</v>
      </c>
      <c r="D610" s="1">
        <v>45473</v>
      </c>
      <c r="E610" t="s">
        <v>20</v>
      </c>
      <c r="F610">
        <v>14</v>
      </c>
      <c r="G610">
        <v>218</v>
      </c>
      <c r="H610">
        <v>0</v>
      </c>
      <c r="I610">
        <v>2526</v>
      </c>
      <c r="J610">
        <v>246</v>
      </c>
      <c r="K610">
        <v>515</v>
      </c>
      <c r="L610">
        <v>283</v>
      </c>
      <c r="M610">
        <v>1.4133016627078301</v>
      </c>
      <c r="N610" t="s">
        <v>23</v>
      </c>
      <c r="O610">
        <v>0</v>
      </c>
    </row>
    <row r="611" spans="1:15" x14ac:dyDescent="0.35">
      <c r="A611">
        <v>610</v>
      </c>
      <c r="B611" t="s">
        <v>22</v>
      </c>
      <c r="C611" t="s">
        <v>19</v>
      </c>
      <c r="D611" s="1">
        <v>45576</v>
      </c>
      <c r="E611" t="s">
        <v>30</v>
      </c>
      <c r="F611">
        <v>10</v>
      </c>
      <c r="G611">
        <v>64</v>
      </c>
      <c r="H611">
        <v>12</v>
      </c>
      <c r="I611">
        <v>2345</v>
      </c>
      <c r="J611">
        <v>235</v>
      </c>
      <c r="K611">
        <v>157</v>
      </c>
      <c r="L611">
        <v>350</v>
      </c>
      <c r="M611">
        <v>1.31641791044776</v>
      </c>
      <c r="N611" t="s">
        <v>23</v>
      </c>
      <c r="O611">
        <v>0</v>
      </c>
    </row>
    <row r="612" spans="1:15" x14ac:dyDescent="0.35">
      <c r="A612">
        <v>611</v>
      </c>
      <c r="B612" t="s">
        <v>15</v>
      </c>
      <c r="C612" t="s">
        <v>24</v>
      </c>
      <c r="D612" s="1">
        <v>45558</v>
      </c>
      <c r="E612" t="s">
        <v>29</v>
      </c>
      <c r="F612">
        <v>15</v>
      </c>
      <c r="G612">
        <v>188</v>
      </c>
      <c r="H612">
        <v>14</v>
      </c>
      <c r="I612">
        <v>1913</v>
      </c>
      <c r="J612">
        <v>432</v>
      </c>
      <c r="K612">
        <v>248</v>
      </c>
      <c r="L612">
        <v>587</v>
      </c>
      <c r="M612">
        <v>1.6623105070569699</v>
      </c>
      <c r="N612" t="s">
        <v>21</v>
      </c>
      <c r="O612">
        <v>0</v>
      </c>
    </row>
    <row r="613" spans="1:15" x14ac:dyDescent="0.35">
      <c r="A613">
        <v>612</v>
      </c>
      <c r="B613" t="s">
        <v>26</v>
      </c>
      <c r="C613" t="s">
        <v>19</v>
      </c>
      <c r="D613" s="1">
        <v>45569</v>
      </c>
      <c r="E613" t="s">
        <v>30</v>
      </c>
      <c r="F613">
        <v>12</v>
      </c>
      <c r="G613">
        <v>90</v>
      </c>
      <c r="H613">
        <v>9</v>
      </c>
      <c r="I613">
        <v>1129</v>
      </c>
      <c r="J613">
        <v>216</v>
      </c>
      <c r="K613">
        <v>143</v>
      </c>
      <c r="L613">
        <v>595</v>
      </c>
      <c r="M613">
        <v>1.8449955713020301</v>
      </c>
      <c r="N613" t="s">
        <v>21</v>
      </c>
      <c r="O613">
        <v>0</v>
      </c>
    </row>
    <row r="614" spans="1:15" x14ac:dyDescent="0.35">
      <c r="A614">
        <v>613</v>
      </c>
      <c r="B614" t="s">
        <v>26</v>
      </c>
      <c r="C614" t="s">
        <v>16</v>
      </c>
      <c r="D614" s="1">
        <v>45560</v>
      </c>
      <c r="E614" t="s">
        <v>25</v>
      </c>
      <c r="F614">
        <v>16</v>
      </c>
      <c r="G614">
        <v>54</v>
      </c>
      <c r="H614">
        <v>17</v>
      </c>
      <c r="I614">
        <v>1157</v>
      </c>
      <c r="J614">
        <v>445</v>
      </c>
      <c r="K614">
        <v>150</v>
      </c>
      <c r="L614">
        <v>672</v>
      </c>
      <c r="M614">
        <v>2.0950734658599801</v>
      </c>
      <c r="N614" t="s">
        <v>21</v>
      </c>
      <c r="O614">
        <v>0</v>
      </c>
    </row>
    <row r="615" spans="1:15" x14ac:dyDescent="0.35">
      <c r="A615">
        <v>614</v>
      </c>
      <c r="B615" t="s">
        <v>26</v>
      </c>
      <c r="C615" t="s">
        <v>16</v>
      </c>
      <c r="D615" s="1">
        <v>45564</v>
      </c>
      <c r="E615" t="s">
        <v>20</v>
      </c>
      <c r="F615">
        <v>16</v>
      </c>
      <c r="G615">
        <v>231</v>
      </c>
      <c r="H615">
        <v>13</v>
      </c>
      <c r="I615">
        <v>1019</v>
      </c>
      <c r="J615">
        <v>193</v>
      </c>
      <c r="K615">
        <v>327</v>
      </c>
      <c r="L615">
        <v>150</v>
      </c>
      <c r="M615">
        <v>1.6575073601570101</v>
      </c>
      <c r="N615" t="s">
        <v>21</v>
      </c>
      <c r="O615">
        <v>0</v>
      </c>
    </row>
    <row r="616" spans="1:15" x14ac:dyDescent="0.35">
      <c r="A616">
        <v>615</v>
      </c>
      <c r="B616" t="s">
        <v>15</v>
      </c>
      <c r="C616" t="s">
        <v>16</v>
      </c>
      <c r="D616" s="1">
        <v>45447</v>
      </c>
      <c r="E616" t="s">
        <v>17</v>
      </c>
      <c r="F616">
        <v>10</v>
      </c>
      <c r="G616">
        <v>114</v>
      </c>
      <c r="H616">
        <v>0</v>
      </c>
      <c r="I616">
        <v>3679</v>
      </c>
      <c r="J616">
        <v>768</v>
      </c>
      <c r="K616">
        <v>282</v>
      </c>
      <c r="L616">
        <v>156</v>
      </c>
      <c r="M616">
        <v>1.32780646914922</v>
      </c>
      <c r="N616" t="s">
        <v>23</v>
      </c>
      <c r="O616">
        <v>0</v>
      </c>
    </row>
    <row r="617" spans="1:15" x14ac:dyDescent="0.35">
      <c r="A617">
        <v>616</v>
      </c>
      <c r="B617" t="s">
        <v>15</v>
      </c>
      <c r="C617" t="s">
        <v>16</v>
      </c>
      <c r="D617" s="1">
        <v>45428</v>
      </c>
      <c r="E617" t="s">
        <v>27</v>
      </c>
      <c r="F617">
        <v>6</v>
      </c>
      <c r="G617">
        <v>203</v>
      </c>
      <c r="H617">
        <v>2</v>
      </c>
      <c r="I617">
        <v>4695</v>
      </c>
      <c r="J617">
        <v>632</v>
      </c>
      <c r="K617">
        <v>238</v>
      </c>
      <c r="L617">
        <v>611</v>
      </c>
      <c r="M617">
        <v>1.31544195953141</v>
      </c>
      <c r="N617" t="s">
        <v>23</v>
      </c>
      <c r="O617">
        <v>0</v>
      </c>
    </row>
    <row r="618" spans="1:15" x14ac:dyDescent="0.35">
      <c r="A618">
        <v>617</v>
      </c>
      <c r="B618" t="s">
        <v>22</v>
      </c>
      <c r="C618" t="s">
        <v>16</v>
      </c>
      <c r="D618" s="1">
        <v>45536</v>
      </c>
      <c r="E618" t="s">
        <v>20</v>
      </c>
      <c r="F618">
        <v>18</v>
      </c>
      <c r="G618">
        <v>271</v>
      </c>
      <c r="H618">
        <v>15</v>
      </c>
      <c r="I618">
        <v>1148</v>
      </c>
      <c r="J618">
        <v>519</v>
      </c>
      <c r="K618">
        <v>482</v>
      </c>
      <c r="L618">
        <v>666</v>
      </c>
      <c r="M618">
        <v>2.45209059233449</v>
      </c>
      <c r="N618" t="s">
        <v>18</v>
      </c>
      <c r="O618">
        <v>0</v>
      </c>
    </row>
    <row r="619" spans="1:15" x14ac:dyDescent="0.35">
      <c r="A619">
        <v>618</v>
      </c>
      <c r="B619" t="s">
        <v>22</v>
      </c>
      <c r="C619" t="s">
        <v>16</v>
      </c>
      <c r="D619" s="1">
        <v>45362</v>
      </c>
      <c r="E619" t="s">
        <v>29</v>
      </c>
      <c r="F619">
        <v>14</v>
      </c>
      <c r="G619">
        <v>231</v>
      </c>
      <c r="H619">
        <v>7</v>
      </c>
      <c r="I619">
        <v>1391</v>
      </c>
      <c r="J619">
        <v>202</v>
      </c>
      <c r="K619">
        <v>233</v>
      </c>
      <c r="L619">
        <v>34</v>
      </c>
      <c r="M619">
        <v>1.3371675053918</v>
      </c>
      <c r="N619" t="s">
        <v>23</v>
      </c>
      <c r="O619">
        <v>0</v>
      </c>
    </row>
    <row r="620" spans="1:15" x14ac:dyDescent="0.35">
      <c r="A620">
        <v>619</v>
      </c>
      <c r="B620" t="s">
        <v>26</v>
      </c>
      <c r="C620" t="s">
        <v>24</v>
      </c>
      <c r="D620" s="1">
        <v>45395</v>
      </c>
      <c r="E620" t="s">
        <v>28</v>
      </c>
      <c r="F620">
        <v>16</v>
      </c>
      <c r="G620">
        <v>254</v>
      </c>
      <c r="H620">
        <v>7</v>
      </c>
      <c r="I620">
        <v>1725</v>
      </c>
      <c r="J620">
        <v>72</v>
      </c>
      <c r="K620">
        <v>183</v>
      </c>
      <c r="L620">
        <v>450</v>
      </c>
      <c r="M620">
        <v>1.40869565217391</v>
      </c>
      <c r="N620" t="s">
        <v>23</v>
      </c>
      <c r="O620">
        <v>0</v>
      </c>
    </row>
    <row r="621" spans="1:15" x14ac:dyDescent="0.35">
      <c r="A621">
        <v>620</v>
      </c>
      <c r="B621" t="s">
        <v>26</v>
      </c>
      <c r="C621" t="s">
        <v>24</v>
      </c>
      <c r="D621" s="1">
        <v>45510</v>
      </c>
      <c r="E621" t="s">
        <v>17</v>
      </c>
      <c r="F621">
        <v>16</v>
      </c>
      <c r="G621">
        <v>221</v>
      </c>
      <c r="H621">
        <v>19</v>
      </c>
      <c r="I621">
        <v>3366</v>
      </c>
      <c r="J621">
        <v>799</v>
      </c>
      <c r="K621">
        <v>44</v>
      </c>
      <c r="L621">
        <v>623</v>
      </c>
      <c r="M621">
        <v>1.4355317884729599</v>
      </c>
      <c r="N621" t="s">
        <v>23</v>
      </c>
      <c r="O621">
        <v>0</v>
      </c>
    </row>
    <row r="622" spans="1:15" x14ac:dyDescent="0.35">
      <c r="A622">
        <v>621</v>
      </c>
      <c r="B622" t="s">
        <v>26</v>
      </c>
      <c r="C622" t="s">
        <v>16</v>
      </c>
      <c r="D622" s="1">
        <v>45584</v>
      </c>
      <c r="E622" t="s">
        <v>28</v>
      </c>
      <c r="F622">
        <v>22</v>
      </c>
      <c r="G622">
        <v>75</v>
      </c>
      <c r="H622">
        <v>14</v>
      </c>
      <c r="I622">
        <v>4914</v>
      </c>
      <c r="J622">
        <v>554</v>
      </c>
      <c r="K622">
        <v>539</v>
      </c>
      <c r="L622">
        <v>657</v>
      </c>
      <c r="M622">
        <v>1.3561253561253499</v>
      </c>
      <c r="N622" t="s">
        <v>23</v>
      </c>
      <c r="O622">
        <v>0</v>
      </c>
    </row>
    <row r="623" spans="1:15" x14ac:dyDescent="0.35">
      <c r="A623">
        <v>622</v>
      </c>
      <c r="B623" t="s">
        <v>22</v>
      </c>
      <c r="C623" t="s">
        <v>19</v>
      </c>
      <c r="D623" s="1">
        <v>45525</v>
      </c>
      <c r="E623" t="s">
        <v>25</v>
      </c>
      <c r="F623">
        <v>7</v>
      </c>
      <c r="G623">
        <v>218</v>
      </c>
      <c r="H623">
        <v>16</v>
      </c>
      <c r="I623">
        <v>397</v>
      </c>
      <c r="J623">
        <v>256</v>
      </c>
      <c r="K623">
        <v>533</v>
      </c>
      <c r="L623">
        <v>551</v>
      </c>
      <c r="M623">
        <v>4.3753148614609501</v>
      </c>
      <c r="N623" t="s">
        <v>18</v>
      </c>
      <c r="O623">
        <v>0</v>
      </c>
    </row>
    <row r="624" spans="1:15" x14ac:dyDescent="0.35">
      <c r="A624">
        <v>623</v>
      </c>
      <c r="B624" t="s">
        <v>22</v>
      </c>
      <c r="C624" t="s">
        <v>24</v>
      </c>
      <c r="D624" s="1">
        <v>45317</v>
      </c>
      <c r="E624" t="s">
        <v>30</v>
      </c>
      <c r="F624">
        <v>20</v>
      </c>
      <c r="G624">
        <v>105</v>
      </c>
      <c r="H624">
        <v>13</v>
      </c>
      <c r="I624">
        <v>1605</v>
      </c>
      <c r="J624">
        <v>303</v>
      </c>
      <c r="K624">
        <v>452</v>
      </c>
      <c r="L624">
        <v>408</v>
      </c>
      <c r="M624">
        <v>1.7246105919003101</v>
      </c>
      <c r="N624" t="s">
        <v>21</v>
      </c>
      <c r="O624">
        <v>0</v>
      </c>
    </row>
    <row r="625" spans="1:15" x14ac:dyDescent="0.35">
      <c r="A625">
        <v>624</v>
      </c>
      <c r="B625" t="s">
        <v>22</v>
      </c>
      <c r="C625" t="s">
        <v>19</v>
      </c>
      <c r="D625" s="1">
        <v>45442</v>
      </c>
      <c r="E625" t="s">
        <v>27</v>
      </c>
      <c r="F625">
        <v>20</v>
      </c>
      <c r="G625">
        <v>66</v>
      </c>
      <c r="H625">
        <v>16</v>
      </c>
      <c r="I625">
        <v>496</v>
      </c>
      <c r="J625">
        <v>711</v>
      </c>
      <c r="K625">
        <v>531</v>
      </c>
      <c r="L625">
        <v>146</v>
      </c>
      <c r="M625">
        <v>3.79838709677419</v>
      </c>
      <c r="N625" t="s">
        <v>18</v>
      </c>
      <c r="O625">
        <v>0</v>
      </c>
    </row>
    <row r="626" spans="1:15" x14ac:dyDescent="0.35">
      <c r="A626">
        <v>625</v>
      </c>
      <c r="B626" t="s">
        <v>22</v>
      </c>
      <c r="C626" t="s">
        <v>24</v>
      </c>
      <c r="D626" s="1">
        <v>45349</v>
      </c>
      <c r="E626" t="s">
        <v>17</v>
      </c>
      <c r="F626">
        <v>16</v>
      </c>
      <c r="G626">
        <v>250</v>
      </c>
      <c r="H626">
        <v>0</v>
      </c>
      <c r="I626">
        <v>1522</v>
      </c>
      <c r="J626">
        <v>604</v>
      </c>
      <c r="K626">
        <v>561</v>
      </c>
      <c r="L626">
        <v>139</v>
      </c>
      <c r="M626">
        <v>1.85676741130092</v>
      </c>
      <c r="N626" t="s">
        <v>21</v>
      </c>
      <c r="O626">
        <v>0</v>
      </c>
    </row>
    <row r="627" spans="1:15" x14ac:dyDescent="0.35">
      <c r="A627">
        <v>626</v>
      </c>
      <c r="B627" t="s">
        <v>15</v>
      </c>
      <c r="C627" t="s">
        <v>24</v>
      </c>
      <c r="D627" s="1">
        <v>45383</v>
      </c>
      <c r="E627" t="s">
        <v>29</v>
      </c>
      <c r="F627">
        <v>16</v>
      </c>
      <c r="G627">
        <v>103</v>
      </c>
      <c r="H627">
        <v>3</v>
      </c>
      <c r="I627">
        <v>3766</v>
      </c>
      <c r="J627">
        <v>609</v>
      </c>
      <c r="K627">
        <v>208</v>
      </c>
      <c r="L627">
        <v>466</v>
      </c>
      <c r="M627">
        <v>1.34067976633032</v>
      </c>
      <c r="N627" t="s">
        <v>23</v>
      </c>
      <c r="O627">
        <v>0</v>
      </c>
    </row>
    <row r="628" spans="1:15" x14ac:dyDescent="0.35">
      <c r="A628">
        <v>627</v>
      </c>
      <c r="B628" t="s">
        <v>22</v>
      </c>
      <c r="C628" t="s">
        <v>16</v>
      </c>
      <c r="D628" s="1">
        <v>45338</v>
      </c>
      <c r="E628" t="s">
        <v>30</v>
      </c>
      <c r="F628">
        <v>22</v>
      </c>
      <c r="G628">
        <v>216</v>
      </c>
      <c r="H628">
        <v>16</v>
      </c>
      <c r="I628">
        <v>985</v>
      </c>
      <c r="J628">
        <v>728</v>
      </c>
      <c r="K628">
        <v>462</v>
      </c>
      <c r="L628">
        <v>650</v>
      </c>
      <c r="M628">
        <v>2.8680203045685202</v>
      </c>
      <c r="N628" t="s">
        <v>18</v>
      </c>
      <c r="O628">
        <v>0</v>
      </c>
    </row>
    <row r="629" spans="1:15" x14ac:dyDescent="0.35">
      <c r="A629">
        <v>628</v>
      </c>
      <c r="B629" t="s">
        <v>15</v>
      </c>
      <c r="C629" t="s">
        <v>24</v>
      </c>
      <c r="D629" s="1">
        <v>45373</v>
      </c>
      <c r="E629" t="s">
        <v>30</v>
      </c>
      <c r="F629">
        <v>10</v>
      </c>
      <c r="G629">
        <v>103</v>
      </c>
      <c r="H629">
        <v>4</v>
      </c>
      <c r="I629">
        <v>3152</v>
      </c>
      <c r="J629">
        <v>568</v>
      </c>
      <c r="K629">
        <v>391</v>
      </c>
      <c r="L629">
        <v>45</v>
      </c>
      <c r="M629">
        <v>1.31852791878172</v>
      </c>
      <c r="N629" t="s">
        <v>23</v>
      </c>
      <c r="O629">
        <v>0</v>
      </c>
    </row>
    <row r="630" spans="1:15" x14ac:dyDescent="0.35">
      <c r="A630">
        <v>629</v>
      </c>
      <c r="B630" t="s">
        <v>26</v>
      </c>
      <c r="C630" t="s">
        <v>24</v>
      </c>
      <c r="D630" s="1">
        <v>45383</v>
      </c>
      <c r="E630" t="s">
        <v>29</v>
      </c>
      <c r="F630">
        <v>15</v>
      </c>
      <c r="G630">
        <v>112</v>
      </c>
      <c r="H630">
        <v>3</v>
      </c>
      <c r="I630">
        <v>470</v>
      </c>
      <c r="J630">
        <v>434</v>
      </c>
      <c r="K630">
        <v>317</v>
      </c>
      <c r="L630">
        <v>317</v>
      </c>
      <c r="M630">
        <v>3.27234042553191</v>
      </c>
      <c r="N630" t="s">
        <v>18</v>
      </c>
      <c r="O630">
        <v>0</v>
      </c>
    </row>
    <row r="631" spans="1:15" x14ac:dyDescent="0.35">
      <c r="A631">
        <v>630</v>
      </c>
      <c r="B631" t="s">
        <v>22</v>
      </c>
      <c r="C631" t="s">
        <v>24</v>
      </c>
      <c r="D631" s="1">
        <v>45359</v>
      </c>
      <c r="E631" t="s">
        <v>30</v>
      </c>
      <c r="F631">
        <v>21</v>
      </c>
      <c r="G631">
        <v>298</v>
      </c>
      <c r="H631">
        <v>0</v>
      </c>
      <c r="I631">
        <v>1711</v>
      </c>
      <c r="J631">
        <v>8</v>
      </c>
      <c r="K631">
        <v>261</v>
      </c>
      <c r="L631">
        <v>13</v>
      </c>
      <c r="M631">
        <v>1.16481589713617</v>
      </c>
      <c r="N631" t="s">
        <v>23</v>
      </c>
      <c r="O631">
        <v>0</v>
      </c>
    </row>
    <row r="632" spans="1:15" x14ac:dyDescent="0.35">
      <c r="A632">
        <v>631</v>
      </c>
      <c r="B632" t="s">
        <v>22</v>
      </c>
      <c r="C632" t="s">
        <v>24</v>
      </c>
      <c r="D632" s="1">
        <v>45544</v>
      </c>
      <c r="E632" t="s">
        <v>29</v>
      </c>
      <c r="F632">
        <v>8</v>
      </c>
      <c r="G632">
        <v>23</v>
      </c>
      <c r="H632">
        <v>7</v>
      </c>
      <c r="I632">
        <v>1998</v>
      </c>
      <c r="J632">
        <v>227</v>
      </c>
      <c r="K632">
        <v>489</v>
      </c>
      <c r="L632">
        <v>465</v>
      </c>
      <c r="M632">
        <v>1.59109109109109</v>
      </c>
      <c r="N632" t="s">
        <v>23</v>
      </c>
      <c r="O632">
        <v>0</v>
      </c>
    </row>
    <row r="633" spans="1:15" x14ac:dyDescent="0.35">
      <c r="A633">
        <v>632</v>
      </c>
      <c r="B633" t="s">
        <v>15</v>
      </c>
      <c r="C633" t="s">
        <v>16</v>
      </c>
      <c r="D633" s="1">
        <v>45572</v>
      </c>
      <c r="E633" t="s">
        <v>29</v>
      </c>
      <c r="F633">
        <v>10</v>
      </c>
      <c r="G633">
        <v>48</v>
      </c>
      <c r="H633">
        <v>20</v>
      </c>
      <c r="I633">
        <v>2328</v>
      </c>
      <c r="J633">
        <v>639</v>
      </c>
      <c r="K633">
        <v>572</v>
      </c>
      <c r="L633">
        <v>213</v>
      </c>
      <c r="M633">
        <v>1.61168384879725</v>
      </c>
      <c r="N633" t="s">
        <v>21</v>
      </c>
      <c r="O633">
        <v>0</v>
      </c>
    </row>
    <row r="634" spans="1:15" x14ac:dyDescent="0.35">
      <c r="A634">
        <v>633</v>
      </c>
      <c r="B634" t="s">
        <v>26</v>
      </c>
      <c r="C634" t="s">
        <v>19</v>
      </c>
      <c r="D634" s="1">
        <v>45470</v>
      </c>
      <c r="E634" t="s">
        <v>27</v>
      </c>
      <c r="F634">
        <v>15</v>
      </c>
      <c r="G634">
        <v>189</v>
      </c>
      <c r="H634">
        <v>2</v>
      </c>
      <c r="I634">
        <v>350</v>
      </c>
      <c r="J634">
        <v>153</v>
      </c>
      <c r="K634">
        <v>35</v>
      </c>
      <c r="L634">
        <v>684</v>
      </c>
      <c r="M634">
        <v>3.4914285714285702</v>
      </c>
      <c r="N634" t="s">
        <v>18</v>
      </c>
      <c r="O634">
        <v>0</v>
      </c>
    </row>
    <row r="635" spans="1:15" x14ac:dyDescent="0.35">
      <c r="A635">
        <v>634</v>
      </c>
      <c r="B635" t="s">
        <v>26</v>
      </c>
      <c r="C635" t="s">
        <v>24</v>
      </c>
      <c r="D635" s="1">
        <v>45317</v>
      </c>
      <c r="E635" t="s">
        <v>30</v>
      </c>
      <c r="F635">
        <v>23</v>
      </c>
      <c r="G635">
        <v>110</v>
      </c>
      <c r="H635">
        <v>14</v>
      </c>
      <c r="I635">
        <v>942</v>
      </c>
      <c r="J635">
        <v>431</v>
      </c>
      <c r="K635">
        <v>184</v>
      </c>
      <c r="L635">
        <v>166</v>
      </c>
      <c r="M635">
        <v>1.8290870488322699</v>
      </c>
      <c r="N635" t="s">
        <v>21</v>
      </c>
      <c r="O635">
        <v>0</v>
      </c>
    </row>
    <row r="636" spans="1:15" x14ac:dyDescent="0.35">
      <c r="A636">
        <v>635</v>
      </c>
      <c r="B636" t="s">
        <v>22</v>
      </c>
      <c r="C636" t="s">
        <v>24</v>
      </c>
      <c r="D636" s="1">
        <v>45588</v>
      </c>
      <c r="E636" t="s">
        <v>25</v>
      </c>
      <c r="F636">
        <v>18</v>
      </c>
      <c r="G636">
        <v>54</v>
      </c>
      <c r="H636">
        <v>13</v>
      </c>
      <c r="I636">
        <v>3000</v>
      </c>
      <c r="J636">
        <v>41</v>
      </c>
      <c r="K636">
        <v>97</v>
      </c>
      <c r="L636">
        <v>307</v>
      </c>
      <c r="M636">
        <v>1.1483333333333301</v>
      </c>
      <c r="N636" t="s">
        <v>23</v>
      </c>
      <c r="O636">
        <v>0</v>
      </c>
    </row>
    <row r="637" spans="1:15" x14ac:dyDescent="0.35">
      <c r="A637">
        <v>636</v>
      </c>
      <c r="B637" t="s">
        <v>15</v>
      </c>
      <c r="C637" t="s">
        <v>19</v>
      </c>
      <c r="D637" s="1">
        <v>45573</v>
      </c>
      <c r="E637" t="s">
        <v>17</v>
      </c>
      <c r="F637">
        <v>14</v>
      </c>
      <c r="G637">
        <v>188</v>
      </c>
      <c r="H637">
        <v>16</v>
      </c>
      <c r="I637">
        <v>581</v>
      </c>
      <c r="J637">
        <v>304</v>
      </c>
      <c r="K637">
        <v>484</v>
      </c>
      <c r="L637">
        <v>138</v>
      </c>
      <c r="M637">
        <v>2.59380378657487</v>
      </c>
      <c r="N637" t="s">
        <v>18</v>
      </c>
      <c r="O637">
        <v>0</v>
      </c>
    </row>
    <row r="638" spans="1:15" x14ac:dyDescent="0.35">
      <c r="A638">
        <v>637</v>
      </c>
      <c r="B638" t="s">
        <v>15</v>
      </c>
      <c r="C638" t="s">
        <v>16</v>
      </c>
      <c r="D638" s="1">
        <v>45503</v>
      </c>
      <c r="E638" t="s">
        <v>17</v>
      </c>
      <c r="F638">
        <v>22</v>
      </c>
      <c r="G638">
        <v>64</v>
      </c>
      <c r="H638">
        <v>15</v>
      </c>
      <c r="I638">
        <v>4347</v>
      </c>
      <c r="J638">
        <v>219</v>
      </c>
      <c r="K638">
        <v>216</v>
      </c>
      <c r="L638">
        <v>627</v>
      </c>
      <c r="M638">
        <v>1.2443064182194601</v>
      </c>
      <c r="N638" t="s">
        <v>23</v>
      </c>
      <c r="O638">
        <v>0</v>
      </c>
    </row>
    <row r="639" spans="1:15" x14ac:dyDescent="0.35">
      <c r="A639">
        <v>638</v>
      </c>
      <c r="B639" t="s">
        <v>26</v>
      </c>
      <c r="C639" t="s">
        <v>19</v>
      </c>
      <c r="D639" s="1">
        <v>45439</v>
      </c>
      <c r="E639" t="s">
        <v>29</v>
      </c>
      <c r="F639">
        <v>17</v>
      </c>
      <c r="G639">
        <v>86</v>
      </c>
      <c r="H639">
        <v>19</v>
      </c>
      <c r="I639">
        <v>3548</v>
      </c>
      <c r="J639">
        <v>628</v>
      </c>
      <c r="K639">
        <v>326</v>
      </c>
      <c r="L639">
        <v>266</v>
      </c>
      <c r="M639">
        <v>1.3438556933483601</v>
      </c>
      <c r="N639" t="s">
        <v>23</v>
      </c>
      <c r="O639">
        <v>0</v>
      </c>
    </row>
    <row r="640" spans="1:15" x14ac:dyDescent="0.35">
      <c r="A640">
        <v>639</v>
      </c>
      <c r="B640" t="s">
        <v>15</v>
      </c>
      <c r="C640" t="s">
        <v>19</v>
      </c>
      <c r="D640" s="1">
        <v>45580</v>
      </c>
      <c r="E640" t="s">
        <v>17</v>
      </c>
      <c r="F640">
        <v>13</v>
      </c>
      <c r="G640">
        <v>168</v>
      </c>
      <c r="H640">
        <v>6</v>
      </c>
      <c r="I640">
        <v>4116</v>
      </c>
      <c r="J640">
        <v>537</v>
      </c>
      <c r="K640">
        <v>511</v>
      </c>
      <c r="L640">
        <v>505</v>
      </c>
      <c r="M640">
        <v>1.3773080660835699</v>
      </c>
      <c r="N640" t="s">
        <v>23</v>
      </c>
      <c r="O640">
        <v>0</v>
      </c>
    </row>
    <row r="641" spans="1:15" x14ac:dyDescent="0.35">
      <c r="A641">
        <v>640</v>
      </c>
      <c r="B641" t="s">
        <v>15</v>
      </c>
      <c r="C641" t="s">
        <v>19</v>
      </c>
      <c r="D641" s="1">
        <v>45292</v>
      </c>
      <c r="E641" t="s">
        <v>29</v>
      </c>
      <c r="F641">
        <v>12</v>
      </c>
      <c r="G641">
        <v>232</v>
      </c>
      <c r="H641">
        <v>13</v>
      </c>
      <c r="I641">
        <v>1018</v>
      </c>
      <c r="J641">
        <v>29</v>
      </c>
      <c r="K641">
        <v>478</v>
      </c>
      <c r="L641">
        <v>641</v>
      </c>
      <c r="M641">
        <v>2.12770137524558</v>
      </c>
      <c r="N641" t="s">
        <v>21</v>
      </c>
      <c r="O641">
        <v>0</v>
      </c>
    </row>
    <row r="642" spans="1:15" x14ac:dyDescent="0.35">
      <c r="A642">
        <v>641</v>
      </c>
      <c r="B642" t="s">
        <v>15</v>
      </c>
      <c r="C642" t="s">
        <v>16</v>
      </c>
      <c r="D642" s="1">
        <v>45315</v>
      </c>
      <c r="E642" t="s">
        <v>25</v>
      </c>
      <c r="F642">
        <v>12</v>
      </c>
      <c r="G642">
        <v>164</v>
      </c>
      <c r="H642">
        <v>8</v>
      </c>
      <c r="I642">
        <v>2784</v>
      </c>
      <c r="J642">
        <v>363</v>
      </c>
      <c r="K642">
        <v>575</v>
      </c>
      <c r="L642">
        <v>653</v>
      </c>
      <c r="M642">
        <v>1.57147988505747</v>
      </c>
      <c r="N642" t="s">
        <v>23</v>
      </c>
      <c r="O642">
        <v>0</v>
      </c>
    </row>
    <row r="643" spans="1:15" x14ac:dyDescent="0.35">
      <c r="A643">
        <v>642</v>
      </c>
      <c r="B643" t="s">
        <v>22</v>
      </c>
      <c r="C643" t="s">
        <v>16</v>
      </c>
      <c r="D643" s="1">
        <v>45326</v>
      </c>
      <c r="E643" t="s">
        <v>20</v>
      </c>
      <c r="F643">
        <v>9</v>
      </c>
      <c r="G643">
        <v>190</v>
      </c>
      <c r="H643">
        <v>10</v>
      </c>
      <c r="I643">
        <v>2571</v>
      </c>
      <c r="J643">
        <v>312</v>
      </c>
      <c r="K643">
        <v>520</v>
      </c>
      <c r="L643">
        <v>564</v>
      </c>
      <c r="M643">
        <v>1.54297938545313</v>
      </c>
      <c r="N643" t="s">
        <v>23</v>
      </c>
      <c r="O643">
        <v>0</v>
      </c>
    </row>
    <row r="644" spans="1:15" x14ac:dyDescent="0.35">
      <c r="A644">
        <v>643</v>
      </c>
      <c r="B644" t="s">
        <v>15</v>
      </c>
      <c r="C644" t="s">
        <v>24</v>
      </c>
      <c r="D644" s="1">
        <v>45494</v>
      </c>
      <c r="E644" t="s">
        <v>20</v>
      </c>
      <c r="F644">
        <v>16</v>
      </c>
      <c r="G644">
        <v>265</v>
      </c>
      <c r="H644">
        <v>15</v>
      </c>
      <c r="I644">
        <v>4710</v>
      </c>
      <c r="J644">
        <v>635</v>
      </c>
      <c r="K644">
        <v>31</v>
      </c>
      <c r="L644">
        <v>180</v>
      </c>
      <c r="M644">
        <v>1.1796178343949</v>
      </c>
      <c r="N644" t="s">
        <v>23</v>
      </c>
      <c r="O644">
        <v>0</v>
      </c>
    </row>
    <row r="645" spans="1:15" x14ac:dyDescent="0.35">
      <c r="A645">
        <v>644</v>
      </c>
      <c r="B645" t="s">
        <v>22</v>
      </c>
      <c r="C645" t="s">
        <v>19</v>
      </c>
      <c r="D645" s="1">
        <v>45310</v>
      </c>
      <c r="E645" t="s">
        <v>30</v>
      </c>
      <c r="F645">
        <v>16</v>
      </c>
      <c r="G645">
        <v>256</v>
      </c>
      <c r="H645">
        <v>13</v>
      </c>
      <c r="I645">
        <v>1162</v>
      </c>
      <c r="J645">
        <v>498</v>
      </c>
      <c r="K645">
        <v>161</v>
      </c>
      <c r="L645">
        <v>643</v>
      </c>
      <c r="M645">
        <v>2.12048192771084</v>
      </c>
      <c r="N645" t="s">
        <v>21</v>
      </c>
      <c r="O645">
        <v>0</v>
      </c>
    </row>
    <row r="646" spans="1:15" x14ac:dyDescent="0.35">
      <c r="A646">
        <v>645</v>
      </c>
      <c r="B646" t="s">
        <v>22</v>
      </c>
      <c r="C646" t="s">
        <v>19</v>
      </c>
      <c r="D646" s="1">
        <v>45320</v>
      </c>
      <c r="E646" t="s">
        <v>29</v>
      </c>
      <c r="F646">
        <v>23</v>
      </c>
      <c r="G646">
        <v>29</v>
      </c>
      <c r="H646">
        <v>6</v>
      </c>
      <c r="I646">
        <v>4318</v>
      </c>
      <c r="J646">
        <v>311</v>
      </c>
      <c r="K646">
        <v>580</v>
      </c>
      <c r="L646">
        <v>695</v>
      </c>
      <c r="M646">
        <v>1.36729967577582</v>
      </c>
      <c r="N646" t="s">
        <v>23</v>
      </c>
      <c r="O646">
        <v>0</v>
      </c>
    </row>
    <row r="647" spans="1:15" x14ac:dyDescent="0.35">
      <c r="A647">
        <v>646</v>
      </c>
      <c r="B647" t="s">
        <v>22</v>
      </c>
      <c r="C647" t="s">
        <v>16</v>
      </c>
      <c r="D647" s="1">
        <v>45587</v>
      </c>
      <c r="E647" t="s">
        <v>17</v>
      </c>
      <c r="F647">
        <v>16</v>
      </c>
      <c r="G647">
        <v>212</v>
      </c>
      <c r="H647">
        <v>20</v>
      </c>
      <c r="I647">
        <v>2767</v>
      </c>
      <c r="J647">
        <v>367</v>
      </c>
      <c r="K647">
        <v>69</v>
      </c>
      <c r="L647">
        <v>153</v>
      </c>
      <c r="M647">
        <v>1.2128659197687</v>
      </c>
      <c r="N647" t="s">
        <v>23</v>
      </c>
      <c r="O647">
        <v>0</v>
      </c>
    </row>
    <row r="648" spans="1:15" x14ac:dyDescent="0.35">
      <c r="A648">
        <v>647</v>
      </c>
      <c r="B648" t="s">
        <v>26</v>
      </c>
      <c r="C648" t="s">
        <v>16</v>
      </c>
      <c r="D648" s="1">
        <v>45565</v>
      </c>
      <c r="E648" t="s">
        <v>29</v>
      </c>
      <c r="F648">
        <v>15</v>
      </c>
      <c r="G648">
        <v>181</v>
      </c>
      <c r="H648">
        <v>1</v>
      </c>
      <c r="I648">
        <v>1409</v>
      </c>
      <c r="J648">
        <v>589</v>
      </c>
      <c r="K648">
        <v>400</v>
      </c>
      <c r="L648">
        <v>192</v>
      </c>
      <c r="M648">
        <v>1.8381831085876501</v>
      </c>
      <c r="N648" t="s">
        <v>21</v>
      </c>
      <c r="O648">
        <v>0</v>
      </c>
    </row>
    <row r="649" spans="1:15" x14ac:dyDescent="0.35">
      <c r="A649">
        <v>648</v>
      </c>
      <c r="B649" t="s">
        <v>22</v>
      </c>
      <c r="C649" t="s">
        <v>24</v>
      </c>
      <c r="D649" s="1">
        <v>45431</v>
      </c>
      <c r="E649" t="s">
        <v>20</v>
      </c>
      <c r="F649">
        <v>15</v>
      </c>
      <c r="G649">
        <v>130</v>
      </c>
      <c r="H649">
        <v>16</v>
      </c>
      <c r="I649">
        <v>3440</v>
      </c>
      <c r="J649">
        <v>93</v>
      </c>
      <c r="K649">
        <v>510</v>
      </c>
      <c r="L649">
        <v>244</v>
      </c>
      <c r="M649">
        <v>1.24622093023255</v>
      </c>
      <c r="N649" t="s">
        <v>23</v>
      </c>
      <c r="O649">
        <v>0</v>
      </c>
    </row>
    <row r="650" spans="1:15" x14ac:dyDescent="0.35">
      <c r="A650">
        <v>649</v>
      </c>
      <c r="B650" t="s">
        <v>15</v>
      </c>
      <c r="C650" t="s">
        <v>16</v>
      </c>
      <c r="D650" s="1">
        <v>45446</v>
      </c>
      <c r="E650" t="s">
        <v>29</v>
      </c>
      <c r="F650">
        <v>20</v>
      </c>
      <c r="G650">
        <v>279</v>
      </c>
      <c r="H650">
        <v>0</v>
      </c>
      <c r="I650">
        <v>1483</v>
      </c>
      <c r="J650">
        <v>119</v>
      </c>
      <c r="K650">
        <v>385</v>
      </c>
      <c r="L650">
        <v>39</v>
      </c>
      <c r="M650">
        <v>1.36614969656102</v>
      </c>
      <c r="N650" t="s">
        <v>23</v>
      </c>
      <c r="O650">
        <v>0</v>
      </c>
    </row>
    <row r="651" spans="1:15" x14ac:dyDescent="0.35">
      <c r="A651">
        <v>650</v>
      </c>
      <c r="B651" t="s">
        <v>22</v>
      </c>
      <c r="C651" t="s">
        <v>19</v>
      </c>
      <c r="D651" s="1">
        <v>45539</v>
      </c>
      <c r="E651" t="s">
        <v>25</v>
      </c>
      <c r="F651">
        <v>22</v>
      </c>
      <c r="G651">
        <v>178</v>
      </c>
      <c r="H651">
        <v>10</v>
      </c>
      <c r="I651">
        <v>4146</v>
      </c>
      <c r="J651">
        <v>162</v>
      </c>
      <c r="K651">
        <v>196</v>
      </c>
      <c r="L651">
        <v>349</v>
      </c>
      <c r="M651">
        <v>1.1705258080077099</v>
      </c>
      <c r="N651" t="s">
        <v>23</v>
      </c>
      <c r="O651">
        <v>0</v>
      </c>
    </row>
    <row r="652" spans="1:15" x14ac:dyDescent="0.35">
      <c r="A652">
        <v>651</v>
      </c>
      <c r="B652" t="s">
        <v>26</v>
      </c>
      <c r="C652" t="s">
        <v>16</v>
      </c>
      <c r="D652" s="1">
        <v>45365</v>
      </c>
      <c r="E652" t="s">
        <v>27</v>
      </c>
      <c r="F652">
        <v>20</v>
      </c>
      <c r="G652">
        <v>218</v>
      </c>
      <c r="H652">
        <v>16</v>
      </c>
      <c r="I652">
        <v>854</v>
      </c>
      <c r="J652">
        <v>533</v>
      </c>
      <c r="K652">
        <v>137</v>
      </c>
      <c r="L652">
        <v>211</v>
      </c>
      <c r="M652">
        <v>2.0316159250585399</v>
      </c>
      <c r="N652" t="s">
        <v>21</v>
      </c>
      <c r="O652">
        <v>0</v>
      </c>
    </row>
    <row r="653" spans="1:15" x14ac:dyDescent="0.35">
      <c r="A653">
        <v>652</v>
      </c>
      <c r="B653" t="s">
        <v>15</v>
      </c>
      <c r="C653" t="s">
        <v>24</v>
      </c>
      <c r="D653" s="1">
        <v>45351</v>
      </c>
      <c r="E653" t="s">
        <v>27</v>
      </c>
      <c r="F653">
        <v>20</v>
      </c>
      <c r="G653">
        <v>43</v>
      </c>
      <c r="H653">
        <v>3</v>
      </c>
      <c r="I653">
        <v>83</v>
      </c>
      <c r="J653">
        <v>323</v>
      </c>
      <c r="K653">
        <v>47</v>
      </c>
      <c r="L653">
        <v>609</v>
      </c>
      <c r="M653">
        <v>12.7951807228915</v>
      </c>
      <c r="N653" t="s">
        <v>18</v>
      </c>
      <c r="O653">
        <v>0</v>
      </c>
    </row>
    <row r="654" spans="1:15" x14ac:dyDescent="0.35">
      <c r="A654">
        <v>653</v>
      </c>
      <c r="B654" t="s">
        <v>26</v>
      </c>
      <c r="C654" t="s">
        <v>16</v>
      </c>
      <c r="D654" s="1">
        <v>45558</v>
      </c>
      <c r="E654" t="s">
        <v>29</v>
      </c>
      <c r="F654">
        <v>16</v>
      </c>
      <c r="G654">
        <v>122</v>
      </c>
      <c r="H654">
        <v>6</v>
      </c>
      <c r="I654">
        <v>2609</v>
      </c>
      <c r="J654">
        <v>28</v>
      </c>
      <c r="K654">
        <v>593</v>
      </c>
      <c r="L654">
        <v>320</v>
      </c>
      <c r="M654">
        <v>1.36067458796473</v>
      </c>
      <c r="N654" t="s">
        <v>23</v>
      </c>
      <c r="O654">
        <v>0</v>
      </c>
    </row>
    <row r="655" spans="1:15" x14ac:dyDescent="0.35">
      <c r="A655">
        <v>654</v>
      </c>
      <c r="B655" t="s">
        <v>26</v>
      </c>
      <c r="C655" t="s">
        <v>16</v>
      </c>
      <c r="D655" s="1">
        <v>45438</v>
      </c>
      <c r="E655" t="s">
        <v>20</v>
      </c>
      <c r="F655">
        <v>14</v>
      </c>
      <c r="G655">
        <v>96</v>
      </c>
      <c r="H655">
        <v>5</v>
      </c>
      <c r="I655">
        <v>2316</v>
      </c>
      <c r="J655">
        <v>550</v>
      </c>
      <c r="K655">
        <v>328</v>
      </c>
      <c r="L655">
        <v>452</v>
      </c>
      <c r="M655">
        <v>1.5742659758203801</v>
      </c>
      <c r="N655" t="s">
        <v>23</v>
      </c>
      <c r="O655">
        <v>0</v>
      </c>
    </row>
    <row r="656" spans="1:15" x14ac:dyDescent="0.35">
      <c r="A656">
        <v>655</v>
      </c>
      <c r="B656" t="s">
        <v>15</v>
      </c>
      <c r="C656" t="s">
        <v>16</v>
      </c>
      <c r="D656" s="1">
        <v>45432</v>
      </c>
      <c r="E656" t="s">
        <v>29</v>
      </c>
      <c r="F656">
        <v>23</v>
      </c>
      <c r="G656">
        <v>199</v>
      </c>
      <c r="H656">
        <v>17</v>
      </c>
      <c r="I656">
        <v>987</v>
      </c>
      <c r="J656">
        <v>20</v>
      </c>
      <c r="K656">
        <v>575</v>
      </c>
      <c r="L656">
        <v>527</v>
      </c>
      <c r="M656">
        <v>2.13677811550152</v>
      </c>
      <c r="N656" t="s">
        <v>21</v>
      </c>
      <c r="O656">
        <v>1</v>
      </c>
    </row>
    <row r="657" spans="1:15" x14ac:dyDescent="0.35">
      <c r="A657">
        <v>656</v>
      </c>
      <c r="B657" t="s">
        <v>15</v>
      </c>
      <c r="C657" t="s">
        <v>16</v>
      </c>
      <c r="D657" s="1">
        <v>45455</v>
      </c>
      <c r="E657" t="s">
        <v>25</v>
      </c>
      <c r="F657">
        <v>8</v>
      </c>
      <c r="G657">
        <v>179</v>
      </c>
      <c r="H657">
        <v>19</v>
      </c>
      <c r="I657">
        <v>2270</v>
      </c>
      <c r="J657">
        <v>149</v>
      </c>
      <c r="K657">
        <v>292</v>
      </c>
      <c r="L657">
        <v>588</v>
      </c>
      <c r="M657">
        <v>1.4533039647577</v>
      </c>
      <c r="N657" t="s">
        <v>23</v>
      </c>
      <c r="O657">
        <v>0</v>
      </c>
    </row>
    <row r="658" spans="1:15" x14ac:dyDescent="0.35">
      <c r="A658">
        <v>657</v>
      </c>
      <c r="B658" t="s">
        <v>15</v>
      </c>
      <c r="C658" t="s">
        <v>24</v>
      </c>
      <c r="D658" s="1">
        <v>45465</v>
      </c>
      <c r="E658" t="s">
        <v>28</v>
      </c>
      <c r="F658">
        <v>7</v>
      </c>
      <c r="G658">
        <v>74</v>
      </c>
      <c r="H658">
        <v>12</v>
      </c>
      <c r="I658">
        <v>4478</v>
      </c>
      <c r="J658">
        <v>459</v>
      </c>
      <c r="K658">
        <v>53</v>
      </c>
      <c r="L658">
        <v>134</v>
      </c>
      <c r="M658">
        <v>1.144260830728</v>
      </c>
      <c r="N658" t="s">
        <v>23</v>
      </c>
      <c r="O658">
        <v>0</v>
      </c>
    </row>
    <row r="659" spans="1:15" x14ac:dyDescent="0.35">
      <c r="A659">
        <v>658</v>
      </c>
      <c r="B659" t="s">
        <v>26</v>
      </c>
      <c r="C659" t="s">
        <v>19</v>
      </c>
      <c r="D659" s="1">
        <v>45319</v>
      </c>
      <c r="E659" t="s">
        <v>20</v>
      </c>
      <c r="F659">
        <v>20</v>
      </c>
      <c r="G659">
        <v>202</v>
      </c>
      <c r="H659">
        <v>9</v>
      </c>
      <c r="I659">
        <v>755</v>
      </c>
      <c r="J659">
        <v>441</v>
      </c>
      <c r="K659">
        <v>403</v>
      </c>
      <c r="L659">
        <v>184</v>
      </c>
      <c r="M659">
        <v>2.3615894039735101</v>
      </c>
      <c r="N659" t="s">
        <v>21</v>
      </c>
      <c r="O659">
        <v>0</v>
      </c>
    </row>
    <row r="660" spans="1:15" x14ac:dyDescent="0.35">
      <c r="A660">
        <v>659</v>
      </c>
      <c r="B660" t="s">
        <v>22</v>
      </c>
      <c r="C660" t="s">
        <v>19</v>
      </c>
      <c r="D660" s="1">
        <v>45462</v>
      </c>
      <c r="E660" t="s">
        <v>25</v>
      </c>
      <c r="F660">
        <v>10</v>
      </c>
      <c r="G660">
        <v>67</v>
      </c>
      <c r="H660">
        <v>14</v>
      </c>
      <c r="I660">
        <v>1673</v>
      </c>
      <c r="J660">
        <v>735</v>
      </c>
      <c r="K660">
        <v>548</v>
      </c>
      <c r="L660">
        <v>81</v>
      </c>
      <c r="M660">
        <v>1.8153018529587499</v>
      </c>
      <c r="N660" t="s">
        <v>21</v>
      </c>
      <c r="O660">
        <v>0</v>
      </c>
    </row>
    <row r="661" spans="1:15" x14ac:dyDescent="0.35">
      <c r="A661">
        <v>660</v>
      </c>
      <c r="B661" t="s">
        <v>15</v>
      </c>
      <c r="C661" t="s">
        <v>16</v>
      </c>
      <c r="D661" s="1">
        <v>45341</v>
      </c>
      <c r="E661" t="s">
        <v>29</v>
      </c>
      <c r="F661">
        <v>10</v>
      </c>
      <c r="G661">
        <v>152</v>
      </c>
      <c r="H661">
        <v>11</v>
      </c>
      <c r="I661">
        <v>3782</v>
      </c>
      <c r="J661">
        <v>322</v>
      </c>
      <c r="K661">
        <v>478</v>
      </c>
      <c r="L661">
        <v>482</v>
      </c>
      <c r="M661">
        <v>1.33897408778424</v>
      </c>
      <c r="N661" t="s">
        <v>23</v>
      </c>
      <c r="O661">
        <v>0</v>
      </c>
    </row>
    <row r="662" spans="1:15" x14ac:dyDescent="0.35">
      <c r="A662">
        <v>661</v>
      </c>
      <c r="B662" t="s">
        <v>22</v>
      </c>
      <c r="C662" t="s">
        <v>24</v>
      </c>
      <c r="D662" s="1">
        <v>45492</v>
      </c>
      <c r="E662" t="s">
        <v>30</v>
      </c>
      <c r="F662">
        <v>6</v>
      </c>
      <c r="G662">
        <v>53</v>
      </c>
      <c r="H662">
        <v>15</v>
      </c>
      <c r="I662">
        <v>1552</v>
      </c>
      <c r="J662">
        <v>721</v>
      </c>
      <c r="K662">
        <v>340</v>
      </c>
      <c r="L662">
        <v>333</v>
      </c>
      <c r="M662">
        <v>1.8981958762886599</v>
      </c>
      <c r="N662" t="s">
        <v>21</v>
      </c>
      <c r="O662">
        <v>0</v>
      </c>
    </row>
    <row r="663" spans="1:15" x14ac:dyDescent="0.35">
      <c r="A663">
        <v>662</v>
      </c>
      <c r="B663" t="s">
        <v>22</v>
      </c>
      <c r="C663" t="s">
        <v>24</v>
      </c>
      <c r="D663" s="1">
        <v>45349</v>
      </c>
      <c r="E663" t="s">
        <v>17</v>
      </c>
      <c r="F663">
        <v>10</v>
      </c>
      <c r="G663">
        <v>280</v>
      </c>
      <c r="H663">
        <v>3</v>
      </c>
      <c r="I663">
        <v>2929</v>
      </c>
      <c r="J663">
        <v>495</v>
      </c>
      <c r="K663">
        <v>474</v>
      </c>
      <c r="L663">
        <v>175</v>
      </c>
      <c r="M663">
        <v>1.3905769887333499</v>
      </c>
      <c r="N663" t="s">
        <v>23</v>
      </c>
      <c r="O663">
        <v>0</v>
      </c>
    </row>
    <row r="664" spans="1:15" x14ac:dyDescent="0.35">
      <c r="A664">
        <v>663</v>
      </c>
      <c r="B664" t="s">
        <v>15</v>
      </c>
      <c r="C664" t="s">
        <v>24</v>
      </c>
      <c r="D664" s="1">
        <v>45499</v>
      </c>
      <c r="E664" t="s">
        <v>30</v>
      </c>
      <c r="F664">
        <v>23</v>
      </c>
      <c r="G664">
        <v>256</v>
      </c>
      <c r="H664">
        <v>12</v>
      </c>
      <c r="I664">
        <v>926</v>
      </c>
      <c r="J664">
        <v>338</v>
      </c>
      <c r="K664">
        <v>571</v>
      </c>
      <c r="L664">
        <v>666</v>
      </c>
      <c r="M664">
        <v>2.7008639308855198</v>
      </c>
      <c r="N664" t="s">
        <v>18</v>
      </c>
      <c r="O664">
        <v>1</v>
      </c>
    </row>
    <row r="665" spans="1:15" x14ac:dyDescent="0.35">
      <c r="A665">
        <v>664</v>
      </c>
      <c r="B665" t="s">
        <v>15</v>
      </c>
      <c r="C665" t="s">
        <v>24</v>
      </c>
      <c r="D665" s="1">
        <v>45503</v>
      </c>
      <c r="E665" t="s">
        <v>17</v>
      </c>
      <c r="F665">
        <v>18</v>
      </c>
      <c r="G665">
        <v>53</v>
      </c>
      <c r="H665">
        <v>10</v>
      </c>
      <c r="I665">
        <v>2004</v>
      </c>
      <c r="J665">
        <v>640</v>
      </c>
      <c r="K665">
        <v>251</v>
      </c>
      <c r="L665">
        <v>562</v>
      </c>
      <c r="M665">
        <v>1.7250499001996</v>
      </c>
      <c r="N665" t="s">
        <v>21</v>
      </c>
      <c r="O665">
        <v>0</v>
      </c>
    </row>
    <row r="666" spans="1:15" x14ac:dyDescent="0.35">
      <c r="A666">
        <v>665</v>
      </c>
      <c r="B666" t="s">
        <v>22</v>
      </c>
      <c r="C666" t="s">
        <v>19</v>
      </c>
      <c r="D666" s="1">
        <v>45398</v>
      </c>
      <c r="E666" t="s">
        <v>17</v>
      </c>
      <c r="F666">
        <v>13</v>
      </c>
      <c r="G666">
        <v>108</v>
      </c>
      <c r="H666">
        <v>2</v>
      </c>
      <c r="I666">
        <v>4891</v>
      </c>
      <c r="J666">
        <v>446</v>
      </c>
      <c r="K666">
        <v>447</v>
      </c>
      <c r="L666">
        <v>581</v>
      </c>
      <c r="M666">
        <v>1.3013698630136901</v>
      </c>
      <c r="N666" t="s">
        <v>23</v>
      </c>
      <c r="O666">
        <v>0</v>
      </c>
    </row>
    <row r="667" spans="1:15" x14ac:dyDescent="0.35">
      <c r="A667">
        <v>666</v>
      </c>
      <c r="B667" t="s">
        <v>26</v>
      </c>
      <c r="C667" t="s">
        <v>16</v>
      </c>
      <c r="D667" s="1">
        <v>45585</v>
      </c>
      <c r="E667" t="s">
        <v>20</v>
      </c>
      <c r="F667">
        <v>20</v>
      </c>
      <c r="G667">
        <v>110</v>
      </c>
      <c r="H667">
        <v>9</v>
      </c>
      <c r="I667">
        <v>4036</v>
      </c>
      <c r="J667">
        <v>122</v>
      </c>
      <c r="K667">
        <v>476</v>
      </c>
      <c r="L667">
        <v>334</v>
      </c>
      <c r="M667">
        <v>1.23092170465807</v>
      </c>
      <c r="N667" t="s">
        <v>23</v>
      </c>
      <c r="O667">
        <v>0</v>
      </c>
    </row>
    <row r="668" spans="1:15" x14ac:dyDescent="0.35">
      <c r="A668">
        <v>667</v>
      </c>
      <c r="B668" t="s">
        <v>22</v>
      </c>
      <c r="C668" t="s">
        <v>24</v>
      </c>
      <c r="D668" s="1">
        <v>45499</v>
      </c>
      <c r="E668" t="s">
        <v>30</v>
      </c>
      <c r="F668">
        <v>21</v>
      </c>
      <c r="G668">
        <v>51</v>
      </c>
      <c r="H668">
        <v>2</v>
      </c>
      <c r="I668">
        <v>620</v>
      </c>
      <c r="J668">
        <v>617</v>
      </c>
      <c r="K668">
        <v>113</v>
      </c>
      <c r="L668">
        <v>611</v>
      </c>
      <c r="M668">
        <v>3.16290322580645</v>
      </c>
      <c r="N668" t="s">
        <v>18</v>
      </c>
      <c r="O668">
        <v>0</v>
      </c>
    </row>
    <row r="669" spans="1:15" x14ac:dyDescent="0.35">
      <c r="A669">
        <v>668</v>
      </c>
      <c r="B669" t="s">
        <v>26</v>
      </c>
      <c r="C669" t="s">
        <v>16</v>
      </c>
      <c r="D669" s="1">
        <v>45403</v>
      </c>
      <c r="E669" t="s">
        <v>20</v>
      </c>
      <c r="F669">
        <v>20</v>
      </c>
      <c r="G669">
        <v>292</v>
      </c>
      <c r="H669">
        <v>9</v>
      </c>
      <c r="I669">
        <v>1188</v>
      </c>
      <c r="J669">
        <v>599</v>
      </c>
      <c r="K669">
        <v>2</v>
      </c>
      <c r="L669">
        <v>151</v>
      </c>
      <c r="M669">
        <v>1.6329966329966299</v>
      </c>
      <c r="N669" t="s">
        <v>21</v>
      </c>
      <c r="O669">
        <v>0</v>
      </c>
    </row>
    <row r="670" spans="1:15" x14ac:dyDescent="0.35">
      <c r="A670">
        <v>669</v>
      </c>
      <c r="B670" t="s">
        <v>26</v>
      </c>
      <c r="C670" t="s">
        <v>24</v>
      </c>
      <c r="D670" s="1">
        <v>45491</v>
      </c>
      <c r="E670" t="s">
        <v>27</v>
      </c>
      <c r="F670">
        <v>15</v>
      </c>
      <c r="G670">
        <v>175</v>
      </c>
      <c r="H670">
        <v>13</v>
      </c>
      <c r="I670">
        <v>4784</v>
      </c>
      <c r="J670">
        <v>462</v>
      </c>
      <c r="K670">
        <v>202</v>
      </c>
      <c r="L670">
        <v>211</v>
      </c>
      <c r="M670">
        <v>1.1829013377926401</v>
      </c>
      <c r="N670" t="s">
        <v>23</v>
      </c>
      <c r="O670">
        <v>0</v>
      </c>
    </row>
    <row r="671" spans="1:15" x14ac:dyDescent="0.35">
      <c r="A671">
        <v>670</v>
      </c>
      <c r="B671" t="s">
        <v>26</v>
      </c>
      <c r="C671" t="s">
        <v>24</v>
      </c>
      <c r="D671" s="1">
        <v>45468</v>
      </c>
      <c r="E671" t="s">
        <v>17</v>
      </c>
      <c r="F671">
        <v>10</v>
      </c>
      <c r="G671">
        <v>170</v>
      </c>
      <c r="H671">
        <v>1</v>
      </c>
      <c r="I671">
        <v>781</v>
      </c>
      <c r="J671">
        <v>601</v>
      </c>
      <c r="K671">
        <v>10</v>
      </c>
      <c r="L671">
        <v>627</v>
      </c>
      <c r="M671">
        <v>2.5851472471190702</v>
      </c>
      <c r="N671" t="s">
        <v>18</v>
      </c>
      <c r="O671">
        <v>0</v>
      </c>
    </row>
    <row r="672" spans="1:15" x14ac:dyDescent="0.35">
      <c r="A672">
        <v>671</v>
      </c>
      <c r="B672" t="s">
        <v>22</v>
      </c>
      <c r="C672" t="s">
        <v>16</v>
      </c>
      <c r="D672" s="1">
        <v>45481</v>
      </c>
      <c r="E672" t="s">
        <v>29</v>
      </c>
      <c r="F672">
        <v>15</v>
      </c>
      <c r="G672">
        <v>35</v>
      </c>
      <c r="H672">
        <v>7</v>
      </c>
      <c r="I672">
        <v>4546</v>
      </c>
      <c r="J672">
        <v>59</v>
      </c>
      <c r="K672">
        <v>2</v>
      </c>
      <c r="L672">
        <v>574</v>
      </c>
      <c r="M672">
        <v>1.1396832380114299</v>
      </c>
      <c r="N672" t="s">
        <v>23</v>
      </c>
      <c r="O672">
        <v>0</v>
      </c>
    </row>
    <row r="673" spans="1:15" x14ac:dyDescent="0.35">
      <c r="A673">
        <v>672</v>
      </c>
      <c r="B673" t="s">
        <v>22</v>
      </c>
      <c r="C673" t="s">
        <v>24</v>
      </c>
      <c r="D673" s="1">
        <v>45513</v>
      </c>
      <c r="E673" t="s">
        <v>30</v>
      </c>
      <c r="F673">
        <v>19</v>
      </c>
      <c r="G673">
        <v>299</v>
      </c>
      <c r="H673">
        <v>6</v>
      </c>
      <c r="I673">
        <v>4884</v>
      </c>
      <c r="J673">
        <v>408</v>
      </c>
      <c r="K673">
        <v>327</v>
      </c>
      <c r="L673">
        <v>392</v>
      </c>
      <c r="M673">
        <v>1.2307534807534799</v>
      </c>
      <c r="N673" t="s">
        <v>23</v>
      </c>
      <c r="O673">
        <v>0</v>
      </c>
    </row>
    <row r="674" spans="1:15" x14ac:dyDescent="0.35">
      <c r="A674">
        <v>673</v>
      </c>
      <c r="B674" t="s">
        <v>22</v>
      </c>
      <c r="C674" t="s">
        <v>24</v>
      </c>
      <c r="D674" s="1">
        <v>45380</v>
      </c>
      <c r="E674" t="s">
        <v>30</v>
      </c>
      <c r="F674">
        <v>19</v>
      </c>
      <c r="G674">
        <v>98</v>
      </c>
      <c r="H674">
        <v>9</v>
      </c>
      <c r="I674">
        <v>3940</v>
      </c>
      <c r="J674">
        <v>147</v>
      </c>
      <c r="K674">
        <v>194</v>
      </c>
      <c r="L674">
        <v>569</v>
      </c>
      <c r="M674">
        <v>1.2309644670050699</v>
      </c>
      <c r="N674" t="s">
        <v>23</v>
      </c>
      <c r="O674">
        <v>0</v>
      </c>
    </row>
    <row r="675" spans="1:15" x14ac:dyDescent="0.35">
      <c r="A675">
        <v>674</v>
      </c>
      <c r="B675" t="s">
        <v>15</v>
      </c>
      <c r="C675" t="s">
        <v>16</v>
      </c>
      <c r="D675" s="1">
        <v>45356</v>
      </c>
      <c r="E675" t="s">
        <v>17</v>
      </c>
      <c r="F675">
        <v>21</v>
      </c>
      <c r="G675">
        <v>243</v>
      </c>
      <c r="H675">
        <v>4</v>
      </c>
      <c r="I675">
        <v>1150</v>
      </c>
      <c r="J675">
        <v>16</v>
      </c>
      <c r="K675">
        <v>75</v>
      </c>
      <c r="L675">
        <v>664</v>
      </c>
      <c r="M675">
        <v>1.6565217391304301</v>
      </c>
      <c r="N675" t="s">
        <v>21</v>
      </c>
      <c r="O675">
        <v>0</v>
      </c>
    </row>
    <row r="676" spans="1:15" x14ac:dyDescent="0.35">
      <c r="A676">
        <v>675</v>
      </c>
      <c r="B676" t="s">
        <v>26</v>
      </c>
      <c r="C676" t="s">
        <v>19</v>
      </c>
      <c r="D676" s="1">
        <v>45335</v>
      </c>
      <c r="E676" t="s">
        <v>17</v>
      </c>
      <c r="F676">
        <v>19</v>
      </c>
      <c r="G676">
        <v>112</v>
      </c>
      <c r="H676">
        <v>14</v>
      </c>
      <c r="I676">
        <v>1174</v>
      </c>
      <c r="J676">
        <v>662</v>
      </c>
      <c r="K676">
        <v>427</v>
      </c>
      <c r="L676">
        <v>467</v>
      </c>
      <c r="M676">
        <v>2.3253833049403698</v>
      </c>
      <c r="N676" t="s">
        <v>21</v>
      </c>
      <c r="O676">
        <v>0</v>
      </c>
    </row>
    <row r="677" spans="1:15" x14ac:dyDescent="0.35">
      <c r="A677">
        <v>676</v>
      </c>
      <c r="B677" t="s">
        <v>22</v>
      </c>
      <c r="C677" t="s">
        <v>16</v>
      </c>
      <c r="D677" s="1">
        <v>45552</v>
      </c>
      <c r="E677" t="s">
        <v>17</v>
      </c>
      <c r="F677">
        <v>11</v>
      </c>
      <c r="G677">
        <v>237</v>
      </c>
      <c r="H677">
        <v>19</v>
      </c>
      <c r="I677">
        <v>3524</v>
      </c>
      <c r="J677">
        <v>570</v>
      </c>
      <c r="K677">
        <v>462</v>
      </c>
      <c r="L677">
        <v>394</v>
      </c>
      <c r="M677">
        <v>1.40465380249716</v>
      </c>
      <c r="N677" t="s">
        <v>23</v>
      </c>
      <c r="O677">
        <v>0</v>
      </c>
    </row>
    <row r="678" spans="1:15" x14ac:dyDescent="0.35">
      <c r="A678">
        <v>677</v>
      </c>
      <c r="B678" t="s">
        <v>22</v>
      </c>
      <c r="C678" t="s">
        <v>24</v>
      </c>
      <c r="D678" s="1">
        <v>45295</v>
      </c>
      <c r="E678" t="s">
        <v>27</v>
      </c>
      <c r="F678">
        <v>23</v>
      </c>
      <c r="G678">
        <v>207</v>
      </c>
      <c r="H678">
        <v>1</v>
      </c>
      <c r="I678">
        <v>4784</v>
      </c>
      <c r="J678">
        <v>515</v>
      </c>
      <c r="K678">
        <v>244</v>
      </c>
      <c r="L678">
        <v>514</v>
      </c>
      <c r="M678">
        <v>1.2660953177257499</v>
      </c>
      <c r="N678" t="s">
        <v>23</v>
      </c>
      <c r="O678">
        <v>0</v>
      </c>
    </row>
    <row r="679" spans="1:15" x14ac:dyDescent="0.35">
      <c r="A679">
        <v>678</v>
      </c>
      <c r="B679" t="s">
        <v>26</v>
      </c>
      <c r="C679" t="s">
        <v>24</v>
      </c>
      <c r="D679" s="1">
        <v>45311</v>
      </c>
      <c r="E679" t="s">
        <v>28</v>
      </c>
      <c r="F679">
        <v>8</v>
      </c>
      <c r="G679">
        <v>92</v>
      </c>
      <c r="H679">
        <v>16</v>
      </c>
      <c r="I679">
        <v>4704</v>
      </c>
      <c r="J679">
        <v>499</v>
      </c>
      <c r="K679">
        <v>379</v>
      </c>
      <c r="L679">
        <v>116</v>
      </c>
      <c r="M679">
        <v>1.21130952380952</v>
      </c>
      <c r="N679" t="s">
        <v>23</v>
      </c>
      <c r="O679">
        <v>0</v>
      </c>
    </row>
    <row r="680" spans="1:15" x14ac:dyDescent="0.35">
      <c r="A680">
        <v>679</v>
      </c>
      <c r="B680" t="s">
        <v>26</v>
      </c>
      <c r="C680" t="s">
        <v>16</v>
      </c>
      <c r="D680" s="1">
        <v>45435</v>
      </c>
      <c r="E680" t="s">
        <v>27</v>
      </c>
      <c r="F680">
        <v>13</v>
      </c>
      <c r="G680">
        <v>261</v>
      </c>
      <c r="H680">
        <v>20</v>
      </c>
      <c r="I680">
        <v>3858</v>
      </c>
      <c r="J680">
        <v>534</v>
      </c>
      <c r="K680">
        <v>82</v>
      </c>
      <c r="L680">
        <v>536</v>
      </c>
      <c r="M680">
        <v>1.2986003110419899</v>
      </c>
      <c r="N680" t="s">
        <v>23</v>
      </c>
      <c r="O680">
        <v>0</v>
      </c>
    </row>
    <row r="681" spans="1:15" x14ac:dyDescent="0.35">
      <c r="A681">
        <v>680</v>
      </c>
      <c r="B681" t="s">
        <v>15</v>
      </c>
      <c r="C681" t="s">
        <v>24</v>
      </c>
      <c r="D681" s="1">
        <v>45331</v>
      </c>
      <c r="E681" t="s">
        <v>30</v>
      </c>
      <c r="F681">
        <v>23</v>
      </c>
      <c r="G681">
        <v>25</v>
      </c>
      <c r="H681">
        <v>15</v>
      </c>
      <c r="I681">
        <v>4467</v>
      </c>
      <c r="J681">
        <v>598</v>
      </c>
      <c r="K681">
        <v>321</v>
      </c>
      <c r="L681">
        <v>628</v>
      </c>
      <c r="M681">
        <v>1.34631743899708</v>
      </c>
      <c r="N681" t="s">
        <v>23</v>
      </c>
      <c r="O681">
        <v>0</v>
      </c>
    </row>
    <row r="682" spans="1:15" x14ac:dyDescent="0.35">
      <c r="A682">
        <v>681</v>
      </c>
      <c r="B682" t="s">
        <v>22</v>
      </c>
      <c r="C682" t="s">
        <v>24</v>
      </c>
      <c r="D682" s="1">
        <v>45524</v>
      </c>
      <c r="E682" t="s">
        <v>17</v>
      </c>
      <c r="F682">
        <v>15</v>
      </c>
      <c r="G682">
        <v>168</v>
      </c>
      <c r="H682">
        <v>5</v>
      </c>
      <c r="I682">
        <v>4249</v>
      </c>
      <c r="J682">
        <v>485</v>
      </c>
      <c r="K682">
        <v>589</v>
      </c>
      <c r="L682">
        <v>340</v>
      </c>
      <c r="M682">
        <v>1.332784184514</v>
      </c>
      <c r="N682" t="s">
        <v>23</v>
      </c>
      <c r="O682">
        <v>0</v>
      </c>
    </row>
    <row r="683" spans="1:15" x14ac:dyDescent="0.35">
      <c r="A683">
        <v>682</v>
      </c>
      <c r="B683" t="s">
        <v>22</v>
      </c>
      <c r="C683" t="s">
        <v>16</v>
      </c>
      <c r="D683" s="1">
        <v>45310</v>
      </c>
      <c r="E683" t="s">
        <v>30</v>
      </c>
      <c r="F683">
        <v>21</v>
      </c>
      <c r="G683">
        <v>106</v>
      </c>
      <c r="H683">
        <v>18</v>
      </c>
      <c r="I683">
        <v>4945</v>
      </c>
      <c r="J683">
        <v>772</v>
      </c>
      <c r="K683">
        <v>313</v>
      </c>
      <c r="L683">
        <v>578</v>
      </c>
      <c r="M683">
        <v>1.33629929221435</v>
      </c>
      <c r="N683" t="s">
        <v>23</v>
      </c>
      <c r="O683">
        <v>0</v>
      </c>
    </row>
    <row r="684" spans="1:15" x14ac:dyDescent="0.35">
      <c r="A684">
        <v>683</v>
      </c>
      <c r="B684" t="s">
        <v>22</v>
      </c>
      <c r="C684" t="s">
        <v>16</v>
      </c>
      <c r="D684" s="1">
        <v>45318</v>
      </c>
      <c r="E684" t="s">
        <v>28</v>
      </c>
      <c r="F684">
        <v>10</v>
      </c>
      <c r="G684">
        <v>278</v>
      </c>
      <c r="H684">
        <v>2</v>
      </c>
      <c r="I684">
        <v>2440</v>
      </c>
      <c r="J684">
        <v>760</v>
      </c>
      <c r="K684">
        <v>29</v>
      </c>
      <c r="L684">
        <v>294</v>
      </c>
      <c r="M684">
        <v>1.4438524590163899</v>
      </c>
      <c r="N684" t="s">
        <v>23</v>
      </c>
      <c r="O684">
        <v>0</v>
      </c>
    </row>
    <row r="685" spans="1:15" x14ac:dyDescent="0.35">
      <c r="A685">
        <v>684</v>
      </c>
      <c r="B685" t="s">
        <v>22</v>
      </c>
      <c r="C685" t="s">
        <v>16</v>
      </c>
      <c r="D685" s="1">
        <v>45434</v>
      </c>
      <c r="E685" t="s">
        <v>25</v>
      </c>
      <c r="F685">
        <v>9</v>
      </c>
      <c r="G685">
        <v>109</v>
      </c>
      <c r="H685">
        <v>18</v>
      </c>
      <c r="I685">
        <v>2114</v>
      </c>
      <c r="J685">
        <v>140</v>
      </c>
      <c r="K685">
        <v>289</v>
      </c>
      <c r="L685">
        <v>282</v>
      </c>
      <c r="M685">
        <v>1.3363292336802199</v>
      </c>
      <c r="N685" t="s">
        <v>23</v>
      </c>
      <c r="O685">
        <v>0</v>
      </c>
    </row>
    <row r="686" spans="1:15" x14ac:dyDescent="0.35">
      <c r="A686">
        <v>685</v>
      </c>
      <c r="B686" t="s">
        <v>26</v>
      </c>
      <c r="C686" t="s">
        <v>16</v>
      </c>
      <c r="D686" s="1">
        <v>45369</v>
      </c>
      <c r="E686" t="s">
        <v>29</v>
      </c>
      <c r="F686">
        <v>21</v>
      </c>
      <c r="G686">
        <v>112</v>
      </c>
      <c r="H686">
        <v>16</v>
      </c>
      <c r="I686">
        <v>3708</v>
      </c>
      <c r="J686">
        <v>383</v>
      </c>
      <c r="K686">
        <v>181</v>
      </c>
      <c r="L686">
        <v>268</v>
      </c>
      <c r="M686">
        <v>1.2243797195253501</v>
      </c>
      <c r="N686" t="s">
        <v>23</v>
      </c>
      <c r="O686">
        <v>0</v>
      </c>
    </row>
    <row r="687" spans="1:15" x14ac:dyDescent="0.35">
      <c r="A687">
        <v>686</v>
      </c>
      <c r="B687" t="s">
        <v>15</v>
      </c>
      <c r="C687" t="s">
        <v>24</v>
      </c>
      <c r="D687" s="1">
        <v>45308</v>
      </c>
      <c r="E687" t="s">
        <v>25</v>
      </c>
      <c r="F687">
        <v>19</v>
      </c>
      <c r="G687">
        <v>216</v>
      </c>
      <c r="H687">
        <v>7</v>
      </c>
      <c r="I687">
        <v>2858</v>
      </c>
      <c r="J687">
        <v>91</v>
      </c>
      <c r="K687">
        <v>150</v>
      </c>
      <c r="L687">
        <v>610</v>
      </c>
      <c r="M687">
        <v>1.29776067179846</v>
      </c>
      <c r="N687" t="s">
        <v>23</v>
      </c>
      <c r="O687">
        <v>0</v>
      </c>
    </row>
    <row r="688" spans="1:15" x14ac:dyDescent="0.35">
      <c r="A688">
        <v>687</v>
      </c>
      <c r="B688" t="s">
        <v>15</v>
      </c>
      <c r="C688" t="s">
        <v>19</v>
      </c>
      <c r="D688" s="1">
        <v>45517</v>
      </c>
      <c r="E688" t="s">
        <v>17</v>
      </c>
      <c r="F688">
        <v>14</v>
      </c>
      <c r="G688">
        <v>79</v>
      </c>
      <c r="H688">
        <v>1</v>
      </c>
      <c r="I688">
        <v>1420</v>
      </c>
      <c r="J688">
        <v>220</v>
      </c>
      <c r="K688">
        <v>593</v>
      </c>
      <c r="L688">
        <v>354</v>
      </c>
      <c r="M688">
        <v>1.82183098591549</v>
      </c>
      <c r="N688" t="s">
        <v>21</v>
      </c>
      <c r="O688">
        <v>0</v>
      </c>
    </row>
    <row r="689" spans="1:15" x14ac:dyDescent="0.35">
      <c r="A689">
        <v>688</v>
      </c>
      <c r="B689" t="s">
        <v>22</v>
      </c>
      <c r="C689" t="s">
        <v>19</v>
      </c>
      <c r="D689" s="1">
        <v>45377</v>
      </c>
      <c r="E689" t="s">
        <v>17</v>
      </c>
      <c r="F689">
        <v>23</v>
      </c>
      <c r="G689">
        <v>139</v>
      </c>
      <c r="H689">
        <v>12</v>
      </c>
      <c r="I689">
        <v>3851</v>
      </c>
      <c r="J689">
        <v>413</v>
      </c>
      <c r="K689">
        <v>489</v>
      </c>
      <c r="L689">
        <v>309</v>
      </c>
      <c r="M689">
        <v>1.31446377564269</v>
      </c>
      <c r="N689" t="s">
        <v>23</v>
      </c>
      <c r="O689">
        <v>0</v>
      </c>
    </row>
    <row r="690" spans="1:15" x14ac:dyDescent="0.35">
      <c r="A690">
        <v>689</v>
      </c>
      <c r="B690" t="s">
        <v>22</v>
      </c>
      <c r="C690" t="s">
        <v>16</v>
      </c>
      <c r="D690" s="1">
        <v>45491</v>
      </c>
      <c r="E690" t="s">
        <v>27</v>
      </c>
      <c r="F690">
        <v>15</v>
      </c>
      <c r="G690">
        <v>249</v>
      </c>
      <c r="H690">
        <v>12</v>
      </c>
      <c r="I690">
        <v>3937</v>
      </c>
      <c r="J690">
        <v>273</v>
      </c>
      <c r="K690">
        <v>150</v>
      </c>
      <c r="L690">
        <v>544</v>
      </c>
      <c r="M690">
        <v>1.2456184912369801</v>
      </c>
      <c r="N690" t="s">
        <v>23</v>
      </c>
      <c r="O690">
        <v>0</v>
      </c>
    </row>
    <row r="691" spans="1:15" x14ac:dyDescent="0.35">
      <c r="A691">
        <v>690</v>
      </c>
      <c r="B691" t="s">
        <v>26</v>
      </c>
      <c r="C691" t="s">
        <v>19</v>
      </c>
      <c r="D691" s="1">
        <v>45453</v>
      </c>
      <c r="E691" t="s">
        <v>29</v>
      </c>
      <c r="F691">
        <v>17</v>
      </c>
      <c r="G691">
        <v>241</v>
      </c>
      <c r="H691">
        <v>19</v>
      </c>
      <c r="I691">
        <v>4393</v>
      </c>
      <c r="J691">
        <v>704</v>
      </c>
      <c r="K691">
        <v>44</v>
      </c>
      <c r="L691">
        <v>100</v>
      </c>
      <c r="M691">
        <v>1.1930343728659201</v>
      </c>
      <c r="N691" t="s">
        <v>23</v>
      </c>
      <c r="O691">
        <v>0</v>
      </c>
    </row>
    <row r="692" spans="1:15" x14ac:dyDescent="0.35">
      <c r="A692">
        <v>691</v>
      </c>
      <c r="B692" t="s">
        <v>22</v>
      </c>
      <c r="C692" t="s">
        <v>19</v>
      </c>
      <c r="D692" s="1">
        <v>45431</v>
      </c>
      <c r="E692" t="s">
        <v>20</v>
      </c>
      <c r="F692">
        <v>18</v>
      </c>
      <c r="G692">
        <v>256</v>
      </c>
      <c r="H692">
        <v>7</v>
      </c>
      <c r="I692">
        <v>2794</v>
      </c>
      <c r="J692">
        <v>281</v>
      </c>
      <c r="K692">
        <v>275</v>
      </c>
      <c r="L692">
        <v>101</v>
      </c>
      <c r="M692">
        <v>1.2351467430207499</v>
      </c>
      <c r="N692" t="s">
        <v>23</v>
      </c>
      <c r="O692">
        <v>0</v>
      </c>
    </row>
    <row r="693" spans="1:15" x14ac:dyDescent="0.35">
      <c r="A693">
        <v>692</v>
      </c>
      <c r="B693" t="s">
        <v>26</v>
      </c>
      <c r="C693" t="s">
        <v>16</v>
      </c>
      <c r="D693" s="1">
        <v>45391</v>
      </c>
      <c r="E693" t="s">
        <v>17</v>
      </c>
      <c r="F693">
        <v>6</v>
      </c>
      <c r="G693">
        <v>54</v>
      </c>
      <c r="H693">
        <v>0</v>
      </c>
      <c r="I693">
        <v>4309</v>
      </c>
      <c r="J693">
        <v>350</v>
      </c>
      <c r="K693">
        <v>186</v>
      </c>
      <c r="L693">
        <v>321</v>
      </c>
      <c r="M693">
        <v>1.19888605244836</v>
      </c>
      <c r="N693" t="s">
        <v>23</v>
      </c>
      <c r="O693">
        <v>0</v>
      </c>
    </row>
    <row r="694" spans="1:15" x14ac:dyDescent="0.35">
      <c r="A694">
        <v>693</v>
      </c>
      <c r="B694" t="s">
        <v>22</v>
      </c>
      <c r="C694" t="s">
        <v>16</v>
      </c>
      <c r="D694" s="1">
        <v>45502</v>
      </c>
      <c r="E694" t="s">
        <v>29</v>
      </c>
      <c r="F694">
        <v>15</v>
      </c>
      <c r="G694">
        <v>148</v>
      </c>
      <c r="H694">
        <v>6</v>
      </c>
      <c r="I694">
        <v>850</v>
      </c>
      <c r="J694">
        <v>542</v>
      </c>
      <c r="K694">
        <v>108</v>
      </c>
      <c r="L694">
        <v>457</v>
      </c>
      <c r="M694">
        <v>2.30235294117647</v>
      </c>
      <c r="N694" t="s">
        <v>21</v>
      </c>
      <c r="O694">
        <v>0</v>
      </c>
    </row>
    <row r="695" spans="1:15" x14ac:dyDescent="0.35">
      <c r="A695">
        <v>694</v>
      </c>
      <c r="B695" t="s">
        <v>26</v>
      </c>
      <c r="C695" t="s">
        <v>19</v>
      </c>
      <c r="D695" s="1">
        <v>45309</v>
      </c>
      <c r="E695" t="s">
        <v>27</v>
      </c>
      <c r="F695">
        <v>12</v>
      </c>
      <c r="G695">
        <v>82</v>
      </c>
      <c r="H695">
        <v>3</v>
      </c>
      <c r="I695">
        <v>244</v>
      </c>
      <c r="J695">
        <v>639</v>
      </c>
      <c r="K695">
        <v>96</v>
      </c>
      <c r="L695">
        <v>59</v>
      </c>
      <c r="M695">
        <v>4.2540983606557301</v>
      </c>
      <c r="N695" t="s">
        <v>18</v>
      </c>
      <c r="O695">
        <v>0</v>
      </c>
    </row>
    <row r="696" spans="1:15" x14ac:dyDescent="0.35">
      <c r="A696">
        <v>695</v>
      </c>
      <c r="B696" t="s">
        <v>15</v>
      </c>
      <c r="C696" t="s">
        <v>19</v>
      </c>
      <c r="D696" s="1">
        <v>45336</v>
      </c>
      <c r="E696" t="s">
        <v>25</v>
      </c>
      <c r="F696">
        <v>11</v>
      </c>
      <c r="G696">
        <v>149</v>
      </c>
      <c r="H696">
        <v>9</v>
      </c>
      <c r="I696">
        <v>1114</v>
      </c>
      <c r="J696">
        <v>389</v>
      </c>
      <c r="K696">
        <v>581</v>
      </c>
      <c r="L696">
        <v>190</v>
      </c>
      <c r="M696">
        <v>2.04129263913824</v>
      </c>
      <c r="N696" t="s">
        <v>21</v>
      </c>
      <c r="O696">
        <v>1</v>
      </c>
    </row>
    <row r="697" spans="1:15" x14ac:dyDescent="0.35">
      <c r="A697">
        <v>696</v>
      </c>
      <c r="B697" t="s">
        <v>22</v>
      </c>
      <c r="C697" t="s">
        <v>19</v>
      </c>
      <c r="D697" s="1">
        <v>45531</v>
      </c>
      <c r="E697" t="s">
        <v>17</v>
      </c>
      <c r="F697">
        <v>16</v>
      </c>
      <c r="G697">
        <v>151</v>
      </c>
      <c r="H697">
        <v>5</v>
      </c>
      <c r="I697">
        <v>670</v>
      </c>
      <c r="J697">
        <v>659</v>
      </c>
      <c r="K697">
        <v>466</v>
      </c>
      <c r="L697">
        <v>284</v>
      </c>
      <c r="M697">
        <v>3.1029850746268601</v>
      </c>
      <c r="N697" t="s">
        <v>18</v>
      </c>
      <c r="O697">
        <v>0</v>
      </c>
    </row>
    <row r="698" spans="1:15" x14ac:dyDescent="0.35">
      <c r="A698">
        <v>697</v>
      </c>
      <c r="B698" t="s">
        <v>22</v>
      </c>
      <c r="C698" t="s">
        <v>24</v>
      </c>
      <c r="D698" s="1">
        <v>45329</v>
      </c>
      <c r="E698" t="s">
        <v>25</v>
      </c>
      <c r="F698">
        <v>7</v>
      </c>
      <c r="G698">
        <v>152</v>
      </c>
      <c r="H698">
        <v>8</v>
      </c>
      <c r="I698">
        <v>2321</v>
      </c>
      <c r="J698">
        <v>800</v>
      </c>
      <c r="K698">
        <v>65</v>
      </c>
      <c r="L698">
        <v>392</v>
      </c>
      <c r="M698">
        <v>1.54157690650581</v>
      </c>
      <c r="N698" t="s">
        <v>23</v>
      </c>
      <c r="O698">
        <v>0</v>
      </c>
    </row>
    <row r="699" spans="1:15" x14ac:dyDescent="0.35">
      <c r="A699">
        <v>698</v>
      </c>
      <c r="B699" t="s">
        <v>26</v>
      </c>
      <c r="C699" t="s">
        <v>24</v>
      </c>
      <c r="D699" s="1">
        <v>45383</v>
      </c>
      <c r="E699" t="s">
        <v>29</v>
      </c>
      <c r="F699">
        <v>11</v>
      </c>
      <c r="G699">
        <v>271</v>
      </c>
      <c r="H699">
        <v>3</v>
      </c>
      <c r="I699">
        <v>3659</v>
      </c>
      <c r="J699">
        <v>76</v>
      </c>
      <c r="K699">
        <v>505</v>
      </c>
      <c r="L699">
        <v>206</v>
      </c>
      <c r="M699">
        <v>1.2150860890953801</v>
      </c>
      <c r="N699" t="s">
        <v>23</v>
      </c>
      <c r="O699">
        <v>0</v>
      </c>
    </row>
    <row r="700" spans="1:15" x14ac:dyDescent="0.35">
      <c r="A700">
        <v>699</v>
      </c>
      <c r="B700" t="s">
        <v>26</v>
      </c>
      <c r="C700" t="s">
        <v>19</v>
      </c>
      <c r="D700" s="1">
        <v>45365</v>
      </c>
      <c r="E700" t="s">
        <v>27</v>
      </c>
      <c r="F700">
        <v>9</v>
      </c>
      <c r="G700">
        <v>246</v>
      </c>
      <c r="H700">
        <v>8</v>
      </c>
      <c r="I700">
        <v>4478</v>
      </c>
      <c r="J700">
        <v>792</v>
      </c>
      <c r="K700">
        <v>443</v>
      </c>
      <c r="L700">
        <v>224</v>
      </c>
      <c r="M700">
        <v>1.3258150960250099</v>
      </c>
      <c r="N700" t="s">
        <v>23</v>
      </c>
      <c r="O700">
        <v>0</v>
      </c>
    </row>
    <row r="701" spans="1:15" x14ac:dyDescent="0.35">
      <c r="A701">
        <v>700</v>
      </c>
      <c r="B701" t="s">
        <v>26</v>
      </c>
      <c r="C701" t="s">
        <v>24</v>
      </c>
      <c r="D701" s="1">
        <v>45344</v>
      </c>
      <c r="E701" t="s">
        <v>27</v>
      </c>
      <c r="F701">
        <v>20</v>
      </c>
      <c r="G701">
        <v>29</v>
      </c>
      <c r="H701">
        <v>15</v>
      </c>
      <c r="I701">
        <v>335</v>
      </c>
      <c r="J701">
        <v>79</v>
      </c>
      <c r="K701">
        <v>74</v>
      </c>
      <c r="L701">
        <v>586</v>
      </c>
      <c r="M701">
        <v>3.20597014925373</v>
      </c>
      <c r="N701" t="s">
        <v>18</v>
      </c>
      <c r="O701">
        <v>0</v>
      </c>
    </row>
    <row r="702" spans="1:15" x14ac:dyDescent="0.35">
      <c r="A702">
        <v>701</v>
      </c>
      <c r="B702" t="s">
        <v>15</v>
      </c>
      <c r="C702" t="s">
        <v>19</v>
      </c>
      <c r="D702" s="1">
        <v>45368</v>
      </c>
      <c r="E702" t="s">
        <v>20</v>
      </c>
      <c r="F702">
        <v>16</v>
      </c>
      <c r="G702">
        <v>220</v>
      </c>
      <c r="H702">
        <v>18</v>
      </c>
      <c r="I702">
        <v>57</v>
      </c>
      <c r="J702">
        <v>43</v>
      </c>
      <c r="K702">
        <v>401</v>
      </c>
      <c r="L702">
        <v>273</v>
      </c>
      <c r="M702">
        <v>13.578947368421</v>
      </c>
      <c r="N702" t="s">
        <v>18</v>
      </c>
      <c r="O702">
        <v>0</v>
      </c>
    </row>
    <row r="703" spans="1:15" x14ac:dyDescent="0.35">
      <c r="A703">
        <v>702</v>
      </c>
      <c r="B703" t="s">
        <v>22</v>
      </c>
      <c r="C703" t="s">
        <v>24</v>
      </c>
      <c r="D703" s="1">
        <v>45293</v>
      </c>
      <c r="E703" t="s">
        <v>17</v>
      </c>
      <c r="F703">
        <v>8</v>
      </c>
      <c r="G703">
        <v>296</v>
      </c>
      <c r="H703">
        <v>7</v>
      </c>
      <c r="I703">
        <v>4272</v>
      </c>
      <c r="J703">
        <v>729</v>
      </c>
      <c r="K703">
        <v>504</v>
      </c>
      <c r="L703">
        <v>490</v>
      </c>
      <c r="M703">
        <v>1.40332397003745</v>
      </c>
      <c r="N703" t="s">
        <v>23</v>
      </c>
      <c r="O703">
        <v>0</v>
      </c>
    </row>
    <row r="704" spans="1:15" x14ac:dyDescent="0.35">
      <c r="A704">
        <v>703</v>
      </c>
      <c r="B704" t="s">
        <v>26</v>
      </c>
      <c r="C704" t="s">
        <v>19</v>
      </c>
      <c r="D704" s="1">
        <v>45293</v>
      </c>
      <c r="E704" t="s">
        <v>17</v>
      </c>
      <c r="F704">
        <v>17</v>
      </c>
      <c r="G704">
        <v>190</v>
      </c>
      <c r="H704">
        <v>9</v>
      </c>
      <c r="I704">
        <v>3199</v>
      </c>
      <c r="J704">
        <v>710</v>
      </c>
      <c r="K704">
        <v>495</v>
      </c>
      <c r="L704">
        <v>125</v>
      </c>
      <c r="M704">
        <v>1.41575492341356</v>
      </c>
      <c r="N704" t="s">
        <v>23</v>
      </c>
      <c r="O704">
        <v>0</v>
      </c>
    </row>
    <row r="705" spans="1:15" x14ac:dyDescent="0.35">
      <c r="A705">
        <v>704</v>
      </c>
      <c r="B705" t="s">
        <v>26</v>
      </c>
      <c r="C705" t="s">
        <v>24</v>
      </c>
      <c r="D705" s="1">
        <v>45497</v>
      </c>
      <c r="E705" t="s">
        <v>25</v>
      </c>
      <c r="F705">
        <v>8</v>
      </c>
      <c r="G705">
        <v>255</v>
      </c>
      <c r="H705">
        <v>9</v>
      </c>
      <c r="I705">
        <v>502</v>
      </c>
      <c r="J705">
        <v>652</v>
      </c>
      <c r="K705">
        <v>94</v>
      </c>
      <c r="L705">
        <v>375</v>
      </c>
      <c r="M705">
        <v>3.2330677290836598</v>
      </c>
      <c r="N705" t="s">
        <v>18</v>
      </c>
      <c r="O705">
        <v>0</v>
      </c>
    </row>
    <row r="706" spans="1:15" x14ac:dyDescent="0.35">
      <c r="A706">
        <v>705</v>
      </c>
      <c r="B706" t="s">
        <v>26</v>
      </c>
      <c r="C706" t="s">
        <v>16</v>
      </c>
      <c r="D706" s="1">
        <v>45395</v>
      </c>
      <c r="E706" t="s">
        <v>28</v>
      </c>
      <c r="F706">
        <v>15</v>
      </c>
      <c r="G706">
        <v>219</v>
      </c>
      <c r="H706">
        <v>3</v>
      </c>
      <c r="I706">
        <v>1496</v>
      </c>
      <c r="J706">
        <v>572</v>
      </c>
      <c r="K706">
        <v>42</v>
      </c>
      <c r="L706">
        <v>394</v>
      </c>
      <c r="M706">
        <v>1.6737967914438501</v>
      </c>
      <c r="N706" t="s">
        <v>21</v>
      </c>
      <c r="O706">
        <v>0</v>
      </c>
    </row>
    <row r="707" spans="1:15" x14ac:dyDescent="0.35">
      <c r="A707">
        <v>706</v>
      </c>
      <c r="B707" t="s">
        <v>15</v>
      </c>
      <c r="C707" t="s">
        <v>16</v>
      </c>
      <c r="D707" s="1">
        <v>45475</v>
      </c>
      <c r="E707" t="s">
        <v>17</v>
      </c>
      <c r="F707">
        <v>12</v>
      </c>
      <c r="G707">
        <v>32</v>
      </c>
      <c r="H707">
        <v>18</v>
      </c>
      <c r="I707">
        <v>4035</v>
      </c>
      <c r="J707">
        <v>91</v>
      </c>
      <c r="K707">
        <v>450</v>
      </c>
      <c r="L707">
        <v>195</v>
      </c>
      <c r="M707">
        <v>1.18240396530359</v>
      </c>
      <c r="N707" t="s">
        <v>23</v>
      </c>
      <c r="O707">
        <v>0</v>
      </c>
    </row>
    <row r="708" spans="1:15" x14ac:dyDescent="0.35">
      <c r="A708">
        <v>707</v>
      </c>
      <c r="B708" t="s">
        <v>26</v>
      </c>
      <c r="C708" t="s">
        <v>24</v>
      </c>
      <c r="D708" s="1">
        <v>45414</v>
      </c>
      <c r="E708" t="s">
        <v>27</v>
      </c>
      <c r="F708">
        <v>21</v>
      </c>
      <c r="G708">
        <v>293</v>
      </c>
      <c r="H708">
        <v>14</v>
      </c>
      <c r="I708">
        <v>4057</v>
      </c>
      <c r="J708">
        <v>403</v>
      </c>
      <c r="K708">
        <v>66</v>
      </c>
      <c r="L708">
        <v>554</v>
      </c>
      <c r="M708">
        <v>1.2521567660833099</v>
      </c>
      <c r="N708" t="s">
        <v>23</v>
      </c>
      <c r="O708">
        <v>0</v>
      </c>
    </row>
    <row r="709" spans="1:15" x14ac:dyDescent="0.35">
      <c r="A709">
        <v>708</v>
      </c>
      <c r="B709" t="s">
        <v>26</v>
      </c>
      <c r="C709" t="s">
        <v>16</v>
      </c>
      <c r="D709" s="1">
        <v>45300</v>
      </c>
      <c r="E709" t="s">
        <v>17</v>
      </c>
      <c r="F709">
        <v>18</v>
      </c>
      <c r="G709">
        <v>80</v>
      </c>
      <c r="H709">
        <v>6</v>
      </c>
      <c r="I709">
        <v>353</v>
      </c>
      <c r="J709">
        <v>352</v>
      </c>
      <c r="K709">
        <v>59</v>
      </c>
      <c r="L709">
        <v>346</v>
      </c>
      <c r="M709">
        <v>3.1444759206798798</v>
      </c>
      <c r="N709" t="s">
        <v>18</v>
      </c>
      <c r="O709">
        <v>0</v>
      </c>
    </row>
    <row r="710" spans="1:15" x14ac:dyDescent="0.35">
      <c r="A710">
        <v>709</v>
      </c>
      <c r="B710" t="s">
        <v>26</v>
      </c>
      <c r="C710" t="s">
        <v>19</v>
      </c>
      <c r="D710" s="1">
        <v>45559</v>
      </c>
      <c r="E710" t="s">
        <v>17</v>
      </c>
      <c r="F710">
        <v>13</v>
      </c>
      <c r="G710">
        <v>56</v>
      </c>
      <c r="H710">
        <v>1</v>
      </c>
      <c r="I710">
        <v>3804</v>
      </c>
      <c r="J710">
        <v>699</v>
      </c>
      <c r="K710">
        <v>551</v>
      </c>
      <c r="L710">
        <v>153</v>
      </c>
      <c r="M710">
        <v>1.36882229232386</v>
      </c>
      <c r="N710" t="s">
        <v>23</v>
      </c>
      <c r="O710">
        <v>0</v>
      </c>
    </row>
    <row r="711" spans="1:15" x14ac:dyDescent="0.35">
      <c r="A711">
        <v>710</v>
      </c>
      <c r="B711" t="s">
        <v>26</v>
      </c>
      <c r="C711" t="s">
        <v>16</v>
      </c>
      <c r="D711" s="1">
        <v>45364</v>
      </c>
      <c r="E711" t="s">
        <v>25</v>
      </c>
      <c r="F711">
        <v>13</v>
      </c>
      <c r="G711">
        <v>86</v>
      </c>
      <c r="H711">
        <v>0</v>
      </c>
      <c r="I711">
        <v>4055</v>
      </c>
      <c r="J711">
        <v>674</v>
      </c>
      <c r="K711">
        <v>21</v>
      </c>
      <c r="L711">
        <v>483</v>
      </c>
      <c r="M711">
        <v>1.2905055487053001</v>
      </c>
      <c r="N711" t="s">
        <v>23</v>
      </c>
      <c r="O711">
        <v>0</v>
      </c>
    </row>
    <row r="712" spans="1:15" x14ac:dyDescent="0.35">
      <c r="A712">
        <v>711</v>
      </c>
      <c r="B712" t="s">
        <v>26</v>
      </c>
      <c r="C712" t="s">
        <v>16</v>
      </c>
      <c r="D712" s="1">
        <v>45380</v>
      </c>
      <c r="E712" t="s">
        <v>30</v>
      </c>
      <c r="F712">
        <v>8</v>
      </c>
      <c r="G712">
        <v>74</v>
      </c>
      <c r="H712">
        <v>3</v>
      </c>
      <c r="I712">
        <v>459</v>
      </c>
      <c r="J712">
        <v>319</v>
      </c>
      <c r="K712">
        <v>101</v>
      </c>
      <c r="L712">
        <v>468</v>
      </c>
      <c r="M712">
        <v>2.9346405228758101</v>
      </c>
      <c r="N712" t="s">
        <v>18</v>
      </c>
      <c r="O712">
        <v>0</v>
      </c>
    </row>
    <row r="713" spans="1:15" x14ac:dyDescent="0.35">
      <c r="A713">
        <v>712</v>
      </c>
      <c r="B713" t="s">
        <v>15</v>
      </c>
      <c r="C713" t="s">
        <v>24</v>
      </c>
      <c r="D713" s="1">
        <v>45546</v>
      </c>
      <c r="E713" t="s">
        <v>25</v>
      </c>
      <c r="F713">
        <v>16</v>
      </c>
      <c r="G713">
        <v>225</v>
      </c>
      <c r="H713">
        <v>10</v>
      </c>
      <c r="I713">
        <v>4924</v>
      </c>
      <c r="J713">
        <v>635</v>
      </c>
      <c r="K713">
        <v>227</v>
      </c>
      <c r="L713">
        <v>65</v>
      </c>
      <c r="M713">
        <v>1.1882615759545001</v>
      </c>
      <c r="N713" t="s">
        <v>23</v>
      </c>
      <c r="O713">
        <v>0</v>
      </c>
    </row>
    <row r="714" spans="1:15" x14ac:dyDescent="0.35">
      <c r="A714">
        <v>713</v>
      </c>
      <c r="B714" t="s">
        <v>15</v>
      </c>
      <c r="C714" t="s">
        <v>16</v>
      </c>
      <c r="D714" s="1">
        <v>45353</v>
      </c>
      <c r="E714" t="s">
        <v>28</v>
      </c>
      <c r="F714">
        <v>11</v>
      </c>
      <c r="G714">
        <v>191</v>
      </c>
      <c r="H714">
        <v>2</v>
      </c>
      <c r="I714">
        <v>4768</v>
      </c>
      <c r="J714">
        <v>563</v>
      </c>
      <c r="K714">
        <v>142</v>
      </c>
      <c r="L714">
        <v>330</v>
      </c>
      <c r="M714">
        <v>1.217072147651</v>
      </c>
      <c r="N714" t="s">
        <v>23</v>
      </c>
      <c r="O714">
        <v>0</v>
      </c>
    </row>
    <row r="715" spans="1:15" x14ac:dyDescent="0.35">
      <c r="A715">
        <v>714</v>
      </c>
      <c r="B715" t="s">
        <v>26</v>
      </c>
      <c r="C715" t="s">
        <v>24</v>
      </c>
      <c r="D715" s="1">
        <v>45353</v>
      </c>
      <c r="E715" t="s">
        <v>28</v>
      </c>
      <c r="F715">
        <v>23</v>
      </c>
      <c r="G715">
        <v>104</v>
      </c>
      <c r="H715">
        <v>14</v>
      </c>
      <c r="I715">
        <v>2293</v>
      </c>
      <c r="J715">
        <v>149</v>
      </c>
      <c r="K715">
        <v>427</v>
      </c>
      <c r="L715">
        <v>173</v>
      </c>
      <c r="M715">
        <v>1.3266463148713401</v>
      </c>
      <c r="N715" t="s">
        <v>23</v>
      </c>
      <c r="O715">
        <v>0</v>
      </c>
    </row>
    <row r="716" spans="1:15" x14ac:dyDescent="0.35">
      <c r="A716">
        <v>715</v>
      </c>
      <c r="B716" t="s">
        <v>26</v>
      </c>
      <c r="C716" t="s">
        <v>19</v>
      </c>
      <c r="D716" s="1">
        <v>45416</v>
      </c>
      <c r="E716" t="s">
        <v>28</v>
      </c>
      <c r="F716">
        <v>18</v>
      </c>
      <c r="G716">
        <v>100</v>
      </c>
      <c r="H716">
        <v>0</v>
      </c>
      <c r="I716">
        <v>4817</v>
      </c>
      <c r="J716">
        <v>46</v>
      </c>
      <c r="K716">
        <v>138</v>
      </c>
      <c r="L716">
        <v>103</v>
      </c>
      <c r="M716">
        <v>1.059580651858</v>
      </c>
      <c r="N716" t="s">
        <v>23</v>
      </c>
      <c r="O716">
        <v>0</v>
      </c>
    </row>
    <row r="717" spans="1:15" x14ac:dyDescent="0.35">
      <c r="A717">
        <v>716</v>
      </c>
      <c r="B717" t="s">
        <v>15</v>
      </c>
      <c r="C717" t="s">
        <v>19</v>
      </c>
      <c r="D717" s="1">
        <v>45541</v>
      </c>
      <c r="E717" t="s">
        <v>30</v>
      </c>
      <c r="F717">
        <v>15</v>
      </c>
      <c r="G717">
        <v>233</v>
      </c>
      <c r="H717">
        <v>15</v>
      </c>
      <c r="I717">
        <v>711</v>
      </c>
      <c r="J717">
        <v>11</v>
      </c>
      <c r="K717">
        <v>9</v>
      </c>
      <c r="L717">
        <v>184</v>
      </c>
      <c r="M717">
        <v>1.2869198312236201</v>
      </c>
      <c r="N717" t="s">
        <v>23</v>
      </c>
      <c r="O717">
        <v>0</v>
      </c>
    </row>
    <row r="718" spans="1:15" x14ac:dyDescent="0.35">
      <c r="A718">
        <v>717</v>
      </c>
      <c r="B718" t="s">
        <v>22</v>
      </c>
      <c r="C718" t="s">
        <v>24</v>
      </c>
      <c r="D718" s="1">
        <v>45356</v>
      </c>
      <c r="E718" t="s">
        <v>17</v>
      </c>
      <c r="F718">
        <v>13</v>
      </c>
      <c r="G718">
        <v>109</v>
      </c>
      <c r="H718">
        <v>19</v>
      </c>
      <c r="I718">
        <v>1738</v>
      </c>
      <c r="J718">
        <v>151</v>
      </c>
      <c r="K718">
        <v>279</v>
      </c>
      <c r="L718">
        <v>536</v>
      </c>
      <c r="M718">
        <v>1.5558112773302599</v>
      </c>
      <c r="N718" t="s">
        <v>23</v>
      </c>
      <c r="O718">
        <v>0</v>
      </c>
    </row>
    <row r="719" spans="1:15" x14ac:dyDescent="0.35">
      <c r="A719">
        <v>718</v>
      </c>
      <c r="B719" t="s">
        <v>15</v>
      </c>
      <c r="C719" t="s">
        <v>19</v>
      </c>
      <c r="D719" s="1">
        <v>45311</v>
      </c>
      <c r="E719" t="s">
        <v>28</v>
      </c>
      <c r="F719">
        <v>15</v>
      </c>
      <c r="G719">
        <v>198</v>
      </c>
      <c r="H719">
        <v>13</v>
      </c>
      <c r="I719">
        <v>4934</v>
      </c>
      <c r="J719">
        <v>189</v>
      </c>
      <c r="K719">
        <v>513</v>
      </c>
      <c r="L719">
        <v>627</v>
      </c>
      <c r="M719">
        <v>1.26935549250101</v>
      </c>
      <c r="N719" t="s">
        <v>23</v>
      </c>
      <c r="O719">
        <v>0</v>
      </c>
    </row>
    <row r="720" spans="1:15" x14ac:dyDescent="0.35">
      <c r="A720">
        <v>719</v>
      </c>
      <c r="B720" t="s">
        <v>26</v>
      </c>
      <c r="C720" t="s">
        <v>16</v>
      </c>
      <c r="D720" s="1">
        <v>45294</v>
      </c>
      <c r="E720" t="s">
        <v>25</v>
      </c>
      <c r="F720">
        <v>17</v>
      </c>
      <c r="G720">
        <v>296</v>
      </c>
      <c r="H720">
        <v>16</v>
      </c>
      <c r="I720">
        <v>4618</v>
      </c>
      <c r="J720">
        <v>246</v>
      </c>
      <c r="K720">
        <v>198</v>
      </c>
      <c r="L720">
        <v>121</v>
      </c>
      <c r="M720">
        <v>1.12234733650931</v>
      </c>
      <c r="N720" t="s">
        <v>23</v>
      </c>
      <c r="O720">
        <v>0</v>
      </c>
    </row>
    <row r="721" spans="1:15" x14ac:dyDescent="0.35">
      <c r="A721">
        <v>720</v>
      </c>
      <c r="B721" t="s">
        <v>15</v>
      </c>
      <c r="C721" t="s">
        <v>16</v>
      </c>
      <c r="D721" s="1">
        <v>45404</v>
      </c>
      <c r="E721" t="s">
        <v>29</v>
      </c>
      <c r="F721">
        <v>9</v>
      </c>
      <c r="G721">
        <v>96</v>
      </c>
      <c r="H721">
        <v>15</v>
      </c>
      <c r="I721">
        <v>3852</v>
      </c>
      <c r="J721">
        <v>793</v>
      </c>
      <c r="K721">
        <v>215</v>
      </c>
      <c r="L721">
        <v>284</v>
      </c>
      <c r="M721">
        <v>1.3354101765316699</v>
      </c>
      <c r="N721" t="s">
        <v>23</v>
      </c>
      <c r="O721">
        <v>0</v>
      </c>
    </row>
    <row r="722" spans="1:15" x14ac:dyDescent="0.35">
      <c r="A722">
        <v>721</v>
      </c>
      <c r="B722" t="s">
        <v>26</v>
      </c>
      <c r="C722" t="s">
        <v>24</v>
      </c>
      <c r="D722" s="1">
        <v>45546</v>
      </c>
      <c r="E722" t="s">
        <v>25</v>
      </c>
      <c r="F722">
        <v>15</v>
      </c>
      <c r="G722">
        <v>127</v>
      </c>
      <c r="H722">
        <v>13</v>
      </c>
      <c r="I722">
        <v>1494</v>
      </c>
      <c r="J722">
        <v>168</v>
      </c>
      <c r="K722">
        <v>46</v>
      </c>
      <c r="L722">
        <v>56</v>
      </c>
      <c r="M722">
        <v>1.18072289156626</v>
      </c>
      <c r="N722" t="s">
        <v>23</v>
      </c>
      <c r="O722">
        <v>0</v>
      </c>
    </row>
    <row r="723" spans="1:15" x14ac:dyDescent="0.35">
      <c r="A723">
        <v>722</v>
      </c>
      <c r="B723" t="s">
        <v>15</v>
      </c>
      <c r="C723" t="s">
        <v>19</v>
      </c>
      <c r="D723" s="1">
        <v>45420</v>
      </c>
      <c r="E723" t="s">
        <v>25</v>
      </c>
      <c r="F723">
        <v>7</v>
      </c>
      <c r="G723">
        <v>295</v>
      </c>
      <c r="H723">
        <v>5</v>
      </c>
      <c r="I723">
        <v>2788</v>
      </c>
      <c r="J723">
        <v>636</v>
      </c>
      <c r="K723">
        <v>466</v>
      </c>
      <c r="L723">
        <v>45</v>
      </c>
      <c r="M723">
        <v>1.4114060258249601</v>
      </c>
      <c r="N723" t="s">
        <v>23</v>
      </c>
      <c r="O723">
        <v>0</v>
      </c>
    </row>
    <row r="724" spans="1:15" x14ac:dyDescent="0.35">
      <c r="A724">
        <v>723</v>
      </c>
      <c r="B724" t="s">
        <v>15</v>
      </c>
      <c r="C724" t="s">
        <v>16</v>
      </c>
      <c r="D724" s="1">
        <v>45372</v>
      </c>
      <c r="E724" t="s">
        <v>27</v>
      </c>
      <c r="F724">
        <v>20</v>
      </c>
      <c r="G724">
        <v>186</v>
      </c>
      <c r="H724">
        <v>13</v>
      </c>
      <c r="I724">
        <v>288</v>
      </c>
      <c r="J724">
        <v>501</v>
      </c>
      <c r="K724">
        <v>529</v>
      </c>
      <c r="L724">
        <v>119</v>
      </c>
      <c r="M724">
        <v>4.9895833333333304</v>
      </c>
      <c r="N724" t="s">
        <v>18</v>
      </c>
      <c r="O724">
        <v>0</v>
      </c>
    </row>
    <row r="725" spans="1:15" x14ac:dyDescent="0.35">
      <c r="A725">
        <v>724</v>
      </c>
      <c r="B725" t="s">
        <v>15</v>
      </c>
      <c r="C725" t="s">
        <v>16</v>
      </c>
      <c r="D725" s="1">
        <v>45393</v>
      </c>
      <c r="E725" t="s">
        <v>27</v>
      </c>
      <c r="F725">
        <v>13</v>
      </c>
      <c r="G725">
        <v>231</v>
      </c>
      <c r="H725">
        <v>6</v>
      </c>
      <c r="I725">
        <v>2718</v>
      </c>
      <c r="J725">
        <v>240</v>
      </c>
      <c r="K725">
        <v>114</v>
      </c>
      <c r="L725">
        <v>334</v>
      </c>
      <c r="M725">
        <v>1.2531272994849101</v>
      </c>
      <c r="N725" t="s">
        <v>23</v>
      </c>
      <c r="O725">
        <v>0</v>
      </c>
    </row>
    <row r="726" spans="1:15" x14ac:dyDescent="0.35">
      <c r="A726">
        <v>725</v>
      </c>
      <c r="B726" t="s">
        <v>22</v>
      </c>
      <c r="C726" t="s">
        <v>16</v>
      </c>
      <c r="D726" s="1">
        <v>45484</v>
      </c>
      <c r="E726" t="s">
        <v>27</v>
      </c>
      <c r="F726">
        <v>19</v>
      </c>
      <c r="G726">
        <v>94</v>
      </c>
      <c r="H726">
        <v>6</v>
      </c>
      <c r="I726">
        <v>1857</v>
      </c>
      <c r="J726">
        <v>80</v>
      </c>
      <c r="K726">
        <v>484</v>
      </c>
      <c r="L726">
        <v>600</v>
      </c>
      <c r="M726">
        <v>1.62681744749596</v>
      </c>
      <c r="N726" t="s">
        <v>21</v>
      </c>
      <c r="O726">
        <v>0</v>
      </c>
    </row>
    <row r="727" spans="1:15" x14ac:dyDescent="0.35">
      <c r="A727">
        <v>726</v>
      </c>
      <c r="B727" t="s">
        <v>22</v>
      </c>
      <c r="C727" t="s">
        <v>19</v>
      </c>
      <c r="D727" s="1">
        <v>45524</v>
      </c>
      <c r="E727" t="s">
        <v>17</v>
      </c>
      <c r="F727">
        <v>12</v>
      </c>
      <c r="G727">
        <v>203</v>
      </c>
      <c r="H727">
        <v>8</v>
      </c>
      <c r="I727">
        <v>1508</v>
      </c>
      <c r="J727">
        <v>401</v>
      </c>
      <c r="K727">
        <v>384</v>
      </c>
      <c r="L727">
        <v>140</v>
      </c>
      <c r="M727">
        <v>1.6133952254641899</v>
      </c>
      <c r="N727" t="s">
        <v>21</v>
      </c>
      <c r="O727">
        <v>0</v>
      </c>
    </row>
    <row r="728" spans="1:15" x14ac:dyDescent="0.35">
      <c r="A728">
        <v>727</v>
      </c>
      <c r="B728" t="s">
        <v>15</v>
      </c>
      <c r="C728" t="s">
        <v>24</v>
      </c>
      <c r="D728" s="1">
        <v>45395</v>
      </c>
      <c r="E728" t="s">
        <v>28</v>
      </c>
      <c r="F728">
        <v>10</v>
      </c>
      <c r="G728">
        <v>76</v>
      </c>
      <c r="H728">
        <v>14</v>
      </c>
      <c r="I728">
        <v>2801</v>
      </c>
      <c r="J728">
        <v>135</v>
      </c>
      <c r="K728">
        <v>34</v>
      </c>
      <c r="L728">
        <v>583</v>
      </c>
      <c r="M728">
        <v>1.2684755444484099</v>
      </c>
      <c r="N728" t="s">
        <v>23</v>
      </c>
      <c r="O728">
        <v>0</v>
      </c>
    </row>
    <row r="729" spans="1:15" x14ac:dyDescent="0.35">
      <c r="A729">
        <v>728</v>
      </c>
      <c r="B729" t="s">
        <v>22</v>
      </c>
      <c r="C729" t="s">
        <v>19</v>
      </c>
      <c r="D729" s="1">
        <v>45526</v>
      </c>
      <c r="E729" t="s">
        <v>27</v>
      </c>
      <c r="F729">
        <v>11</v>
      </c>
      <c r="G729">
        <v>107</v>
      </c>
      <c r="H729">
        <v>18</v>
      </c>
      <c r="I729">
        <v>3476</v>
      </c>
      <c r="J729">
        <v>180</v>
      </c>
      <c r="K729">
        <v>353</v>
      </c>
      <c r="L729">
        <v>226</v>
      </c>
      <c r="M729">
        <v>1.21835443037974</v>
      </c>
      <c r="N729" t="s">
        <v>23</v>
      </c>
      <c r="O729">
        <v>0</v>
      </c>
    </row>
    <row r="730" spans="1:15" x14ac:dyDescent="0.35">
      <c r="A730">
        <v>729</v>
      </c>
      <c r="B730" t="s">
        <v>22</v>
      </c>
      <c r="C730" t="s">
        <v>16</v>
      </c>
      <c r="D730" s="1">
        <v>45575</v>
      </c>
      <c r="E730" t="s">
        <v>27</v>
      </c>
      <c r="F730">
        <v>21</v>
      </c>
      <c r="G730">
        <v>256</v>
      </c>
      <c r="H730">
        <v>8</v>
      </c>
      <c r="I730">
        <v>1931</v>
      </c>
      <c r="J730">
        <v>93</v>
      </c>
      <c r="K730">
        <v>423</v>
      </c>
      <c r="L730">
        <v>535</v>
      </c>
      <c r="M730">
        <v>1.5442775763852901</v>
      </c>
      <c r="N730" t="s">
        <v>23</v>
      </c>
      <c r="O730">
        <v>0</v>
      </c>
    </row>
    <row r="731" spans="1:15" x14ac:dyDescent="0.35">
      <c r="A731">
        <v>730</v>
      </c>
      <c r="B731" t="s">
        <v>22</v>
      </c>
      <c r="C731" t="s">
        <v>24</v>
      </c>
      <c r="D731" s="1">
        <v>45299</v>
      </c>
      <c r="E731" t="s">
        <v>29</v>
      </c>
      <c r="F731">
        <v>13</v>
      </c>
      <c r="G731">
        <v>96</v>
      </c>
      <c r="H731">
        <v>18</v>
      </c>
      <c r="I731">
        <v>3557</v>
      </c>
      <c r="J731">
        <v>758</v>
      </c>
      <c r="K731">
        <v>254</v>
      </c>
      <c r="L731">
        <v>254</v>
      </c>
      <c r="M731">
        <v>1.3559179083497299</v>
      </c>
      <c r="N731" t="s">
        <v>23</v>
      </c>
      <c r="O731">
        <v>0</v>
      </c>
    </row>
    <row r="732" spans="1:15" x14ac:dyDescent="0.35">
      <c r="A732">
        <v>731</v>
      </c>
      <c r="B732" t="s">
        <v>26</v>
      </c>
      <c r="C732" t="s">
        <v>19</v>
      </c>
      <c r="D732" s="1">
        <v>45294</v>
      </c>
      <c r="E732" t="s">
        <v>25</v>
      </c>
      <c r="F732">
        <v>7</v>
      </c>
      <c r="G732">
        <v>237</v>
      </c>
      <c r="H732">
        <v>16</v>
      </c>
      <c r="I732">
        <v>3472</v>
      </c>
      <c r="J732">
        <v>50</v>
      </c>
      <c r="K732">
        <v>43</v>
      </c>
      <c r="L732">
        <v>482</v>
      </c>
      <c r="M732">
        <v>1.1656105990783401</v>
      </c>
      <c r="N732" t="s">
        <v>23</v>
      </c>
      <c r="O732">
        <v>0</v>
      </c>
    </row>
    <row r="733" spans="1:15" x14ac:dyDescent="0.35">
      <c r="A733">
        <v>732</v>
      </c>
      <c r="B733" t="s">
        <v>22</v>
      </c>
      <c r="C733" t="s">
        <v>16</v>
      </c>
      <c r="D733" s="1">
        <v>45493</v>
      </c>
      <c r="E733" t="s">
        <v>28</v>
      </c>
      <c r="F733">
        <v>8</v>
      </c>
      <c r="G733">
        <v>26</v>
      </c>
      <c r="H733">
        <v>13</v>
      </c>
      <c r="I733">
        <v>3976</v>
      </c>
      <c r="J733">
        <v>718</v>
      </c>
      <c r="K733">
        <v>102</v>
      </c>
      <c r="L733">
        <v>464</v>
      </c>
      <c r="M733">
        <v>1.32293762575452</v>
      </c>
      <c r="N733" t="s">
        <v>23</v>
      </c>
      <c r="O733">
        <v>0</v>
      </c>
    </row>
    <row r="734" spans="1:15" x14ac:dyDescent="0.35">
      <c r="A734">
        <v>733</v>
      </c>
      <c r="B734" t="s">
        <v>26</v>
      </c>
      <c r="C734" t="s">
        <v>16</v>
      </c>
      <c r="D734" s="1">
        <v>45403</v>
      </c>
      <c r="E734" t="s">
        <v>20</v>
      </c>
      <c r="F734">
        <v>6</v>
      </c>
      <c r="G734">
        <v>265</v>
      </c>
      <c r="H734">
        <v>9</v>
      </c>
      <c r="I734">
        <v>1137</v>
      </c>
      <c r="J734">
        <v>372</v>
      </c>
      <c r="K734">
        <v>304</v>
      </c>
      <c r="L734">
        <v>245</v>
      </c>
      <c r="M734">
        <v>1.81002638522427</v>
      </c>
      <c r="N734" t="s">
        <v>21</v>
      </c>
      <c r="O734">
        <v>0</v>
      </c>
    </row>
    <row r="735" spans="1:15" x14ac:dyDescent="0.35">
      <c r="A735">
        <v>734</v>
      </c>
      <c r="B735" t="s">
        <v>22</v>
      </c>
      <c r="C735" t="s">
        <v>24</v>
      </c>
      <c r="D735" s="1">
        <v>45374</v>
      </c>
      <c r="E735" t="s">
        <v>28</v>
      </c>
      <c r="F735">
        <v>10</v>
      </c>
      <c r="G735">
        <v>227</v>
      </c>
      <c r="H735">
        <v>5</v>
      </c>
      <c r="I735">
        <v>3812</v>
      </c>
      <c r="J735">
        <v>589</v>
      </c>
      <c r="K735">
        <v>599</v>
      </c>
      <c r="L735">
        <v>25</v>
      </c>
      <c r="M735">
        <v>1.31820566631689</v>
      </c>
      <c r="N735" t="s">
        <v>23</v>
      </c>
      <c r="O735">
        <v>0</v>
      </c>
    </row>
    <row r="736" spans="1:15" x14ac:dyDescent="0.35">
      <c r="A736">
        <v>735</v>
      </c>
      <c r="B736" t="s">
        <v>15</v>
      </c>
      <c r="C736" t="s">
        <v>24</v>
      </c>
      <c r="D736" s="1">
        <v>45481</v>
      </c>
      <c r="E736" t="s">
        <v>29</v>
      </c>
      <c r="F736">
        <v>16</v>
      </c>
      <c r="G736">
        <v>291</v>
      </c>
      <c r="H736">
        <v>1</v>
      </c>
      <c r="I736">
        <v>3853</v>
      </c>
      <c r="J736">
        <v>725</v>
      </c>
      <c r="K736">
        <v>3</v>
      </c>
      <c r="L736">
        <v>643</v>
      </c>
      <c r="M736">
        <v>1.35582662860109</v>
      </c>
      <c r="N736" t="s">
        <v>23</v>
      </c>
      <c r="O736">
        <v>0</v>
      </c>
    </row>
    <row r="737" spans="1:15" x14ac:dyDescent="0.35">
      <c r="A737">
        <v>736</v>
      </c>
      <c r="B737" t="s">
        <v>26</v>
      </c>
      <c r="C737" t="s">
        <v>19</v>
      </c>
      <c r="D737" s="1">
        <v>45443</v>
      </c>
      <c r="E737" t="s">
        <v>30</v>
      </c>
      <c r="F737">
        <v>12</v>
      </c>
      <c r="G737">
        <v>61</v>
      </c>
      <c r="H737">
        <v>19</v>
      </c>
      <c r="I737">
        <v>3538</v>
      </c>
      <c r="J737">
        <v>775</v>
      </c>
      <c r="K737">
        <v>278</v>
      </c>
      <c r="L737">
        <v>628</v>
      </c>
      <c r="M737">
        <v>1.4751271905031</v>
      </c>
      <c r="N737" t="s">
        <v>23</v>
      </c>
      <c r="O737">
        <v>0</v>
      </c>
    </row>
    <row r="738" spans="1:15" x14ac:dyDescent="0.35">
      <c r="A738">
        <v>737</v>
      </c>
      <c r="B738" t="s">
        <v>15</v>
      </c>
      <c r="C738" t="s">
        <v>24</v>
      </c>
      <c r="D738" s="1">
        <v>45463</v>
      </c>
      <c r="E738" t="s">
        <v>27</v>
      </c>
      <c r="F738">
        <v>17</v>
      </c>
      <c r="G738">
        <v>258</v>
      </c>
      <c r="H738">
        <v>19</v>
      </c>
      <c r="I738">
        <v>499</v>
      </c>
      <c r="J738">
        <v>532</v>
      </c>
      <c r="K738">
        <v>374</v>
      </c>
      <c r="L738">
        <v>53</v>
      </c>
      <c r="M738">
        <v>2.9218436873747402</v>
      </c>
      <c r="N738" t="s">
        <v>18</v>
      </c>
      <c r="O738">
        <v>0</v>
      </c>
    </row>
    <row r="739" spans="1:15" x14ac:dyDescent="0.35">
      <c r="A739">
        <v>738</v>
      </c>
      <c r="B739" t="s">
        <v>26</v>
      </c>
      <c r="C739" t="s">
        <v>19</v>
      </c>
      <c r="D739" s="1">
        <v>45312</v>
      </c>
      <c r="E739" t="s">
        <v>20</v>
      </c>
      <c r="F739">
        <v>8</v>
      </c>
      <c r="G739">
        <v>124</v>
      </c>
      <c r="H739">
        <v>4</v>
      </c>
      <c r="I739">
        <v>3044</v>
      </c>
      <c r="J739">
        <v>380</v>
      </c>
      <c r="K739">
        <v>181</v>
      </c>
      <c r="L739">
        <v>664</v>
      </c>
      <c r="M739">
        <v>1.40243101182654</v>
      </c>
      <c r="N739" t="s">
        <v>23</v>
      </c>
      <c r="O739">
        <v>0</v>
      </c>
    </row>
    <row r="740" spans="1:15" x14ac:dyDescent="0.35">
      <c r="A740">
        <v>739</v>
      </c>
      <c r="B740" t="s">
        <v>22</v>
      </c>
      <c r="C740" t="s">
        <v>19</v>
      </c>
      <c r="D740" s="1">
        <v>45463</v>
      </c>
      <c r="E740" t="s">
        <v>27</v>
      </c>
      <c r="F740">
        <v>12</v>
      </c>
      <c r="G740">
        <v>135</v>
      </c>
      <c r="H740">
        <v>10</v>
      </c>
      <c r="I740">
        <v>2004</v>
      </c>
      <c r="J740">
        <v>557</v>
      </c>
      <c r="K740">
        <v>118</v>
      </c>
      <c r="L740">
        <v>665</v>
      </c>
      <c r="M740">
        <v>1.6686626746506901</v>
      </c>
      <c r="N740" t="s">
        <v>21</v>
      </c>
      <c r="O740">
        <v>0</v>
      </c>
    </row>
    <row r="741" spans="1:15" x14ac:dyDescent="0.35">
      <c r="A741">
        <v>740</v>
      </c>
      <c r="B741" t="s">
        <v>15</v>
      </c>
      <c r="C741" t="s">
        <v>16</v>
      </c>
      <c r="D741" s="1">
        <v>45472</v>
      </c>
      <c r="E741" t="s">
        <v>28</v>
      </c>
      <c r="F741">
        <v>17</v>
      </c>
      <c r="G741">
        <v>196</v>
      </c>
      <c r="H741">
        <v>14</v>
      </c>
      <c r="I741">
        <v>2240</v>
      </c>
      <c r="J741">
        <v>520</v>
      </c>
      <c r="K741">
        <v>435</v>
      </c>
      <c r="L741">
        <v>284</v>
      </c>
      <c r="M741">
        <v>1.5531250000000001</v>
      </c>
      <c r="N741" t="s">
        <v>23</v>
      </c>
      <c r="O741">
        <v>0</v>
      </c>
    </row>
    <row r="742" spans="1:15" x14ac:dyDescent="0.35">
      <c r="A742">
        <v>741</v>
      </c>
      <c r="B742" t="s">
        <v>26</v>
      </c>
      <c r="C742" t="s">
        <v>19</v>
      </c>
      <c r="D742" s="1">
        <v>45540</v>
      </c>
      <c r="E742" t="s">
        <v>27</v>
      </c>
      <c r="F742">
        <v>23</v>
      </c>
      <c r="G742">
        <v>169</v>
      </c>
      <c r="H742">
        <v>14</v>
      </c>
      <c r="I742">
        <v>4157</v>
      </c>
      <c r="J742">
        <v>544</v>
      </c>
      <c r="K742">
        <v>127</v>
      </c>
      <c r="L742">
        <v>482</v>
      </c>
      <c r="M742">
        <v>1.27736348328121</v>
      </c>
      <c r="N742" t="s">
        <v>23</v>
      </c>
      <c r="O742">
        <v>0</v>
      </c>
    </row>
    <row r="743" spans="1:15" x14ac:dyDescent="0.35">
      <c r="A743">
        <v>742</v>
      </c>
      <c r="B743" t="s">
        <v>15</v>
      </c>
      <c r="C743" t="s">
        <v>24</v>
      </c>
      <c r="D743" s="1">
        <v>45480</v>
      </c>
      <c r="E743" t="s">
        <v>20</v>
      </c>
      <c r="F743">
        <v>11</v>
      </c>
      <c r="G743">
        <v>167</v>
      </c>
      <c r="H743">
        <v>2</v>
      </c>
      <c r="I743">
        <v>587</v>
      </c>
      <c r="J743">
        <v>197</v>
      </c>
      <c r="K743">
        <v>470</v>
      </c>
      <c r="L743">
        <v>90</v>
      </c>
      <c r="M743">
        <v>2.28960817717206</v>
      </c>
      <c r="N743" t="s">
        <v>21</v>
      </c>
      <c r="O743">
        <v>0</v>
      </c>
    </row>
    <row r="744" spans="1:15" x14ac:dyDescent="0.35">
      <c r="A744">
        <v>743</v>
      </c>
      <c r="B744" t="s">
        <v>22</v>
      </c>
      <c r="C744" t="s">
        <v>16</v>
      </c>
      <c r="D744" s="1">
        <v>45347</v>
      </c>
      <c r="E744" t="s">
        <v>20</v>
      </c>
      <c r="F744">
        <v>12</v>
      </c>
      <c r="G744">
        <v>286</v>
      </c>
      <c r="H744">
        <v>20</v>
      </c>
      <c r="I744">
        <v>1399</v>
      </c>
      <c r="J744">
        <v>287</v>
      </c>
      <c r="K744">
        <v>116</v>
      </c>
      <c r="L744">
        <v>152</v>
      </c>
      <c r="M744">
        <v>1.39671193709792</v>
      </c>
      <c r="N744" t="s">
        <v>23</v>
      </c>
      <c r="O744">
        <v>0</v>
      </c>
    </row>
    <row r="745" spans="1:15" x14ac:dyDescent="0.35">
      <c r="A745">
        <v>744</v>
      </c>
      <c r="B745" t="s">
        <v>22</v>
      </c>
      <c r="C745" t="s">
        <v>24</v>
      </c>
      <c r="D745" s="1">
        <v>45303</v>
      </c>
      <c r="E745" t="s">
        <v>30</v>
      </c>
      <c r="F745">
        <v>19</v>
      </c>
      <c r="G745">
        <v>247</v>
      </c>
      <c r="H745">
        <v>20</v>
      </c>
      <c r="I745">
        <v>2451</v>
      </c>
      <c r="J745">
        <v>431</v>
      </c>
      <c r="K745">
        <v>556</v>
      </c>
      <c r="L745">
        <v>136</v>
      </c>
      <c r="M745">
        <v>1.4581803345573201</v>
      </c>
      <c r="N745" t="s">
        <v>23</v>
      </c>
      <c r="O745">
        <v>0</v>
      </c>
    </row>
    <row r="746" spans="1:15" x14ac:dyDescent="0.35">
      <c r="A746">
        <v>745</v>
      </c>
      <c r="B746" t="s">
        <v>15</v>
      </c>
      <c r="C746" t="s">
        <v>19</v>
      </c>
      <c r="D746" s="1">
        <v>45302</v>
      </c>
      <c r="E746" t="s">
        <v>27</v>
      </c>
      <c r="F746">
        <v>16</v>
      </c>
      <c r="G746">
        <v>230</v>
      </c>
      <c r="H746">
        <v>18</v>
      </c>
      <c r="I746">
        <v>2438</v>
      </c>
      <c r="J746">
        <v>198</v>
      </c>
      <c r="K746">
        <v>66</v>
      </c>
      <c r="L746">
        <v>23</v>
      </c>
      <c r="M746">
        <v>1.1177194421657</v>
      </c>
      <c r="N746" t="s">
        <v>23</v>
      </c>
      <c r="O746">
        <v>0</v>
      </c>
    </row>
    <row r="747" spans="1:15" x14ac:dyDescent="0.35">
      <c r="A747">
        <v>746</v>
      </c>
      <c r="B747" t="s">
        <v>22</v>
      </c>
      <c r="C747" t="s">
        <v>24</v>
      </c>
      <c r="D747" s="1">
        <v>45467</v>
      </c>
      <c r="E747" t="s">
        <v>29</v>
      </c>
      <c r="F747">
        <v>15</v>
      </c>
      <c r="G747">
        <v>87</v>
      </c>
      <c r="H747">
        <v>9</v>
      </c>
      <c r="I747">
        <v>2723</v>
      </c>
      <c r="J747">
        <v>502</v>
      </c>
      <c r="K747">
        <v>544</v>
      </c>
      <c r="L747">
        <v>562</v>
      </c>
      <c r="M747">
        <v>1.5905251560778499</v>
      </c>
      <c r="N747" t="s">
        <v>23</v>
      </c>
      <c r="O747">
        <v>0</v>
      </c>
    </row>
    <row r="748" spans="1:15" x14ac:dyDescent="0.35">
      <c r="A748">
        <v>747</v>
      </c>
      <c r="B748" t="s">
        <v>22</v>
      </c>
      <c r="C748" t="s">
        <v>16</v>
      </c>
      <c r="D748" s="1">
        <v>45379</v>
      </c>
      <c r="E748" t="s">
        <v>27</v>
      </c>
      <c r="F748">
        <v>10</v>
      </c>
      <c r="G748">
        <v>200</v>
      </c>
      <c r="H748">
        <v>9</v>
      </c>
      <c r="I748">
        <v>2179</v>
      </c>
      <c r="J748">
        <v>237</v>
      </c>
      <c r="K748">
        <v>497</v>
      </c>
      <c r="L748">
        <v>381</v>
      </c>
      <c r="M748">
        <v>1.51170261587884</v>
      </c>
      <c r="N748" t="s">
        <v>23</v>
      </c>
      <c r="O748">
        <v>0</v>
      </c>
    </row>
    <row r="749" spans="1:15" x14ac:dyDescent="0.35">
      <c r="A749">
        <v>748</v>
      </c>
      <c r="B749" t="s">
        <v>22</v>
      </c>
      <c r="C749" t="s">
        <v>16</v>
      </c>
      <c r="D749" s="1">
        <v>45525</v>
      </c>
      <c r="E749" t="s">
        <v>25</v>
      </c>
      <c r="F749">
        <v>11</v>
      </c>
      <c r="G749">
        <v>98</v>
      </c>
      <c r="H749">
        <v>5</v>
      </c>
      <c r="I749">
        <v>1412</v>
      </c>
      <c r="J749">
        <v>638</v>
      </c>
      <c r="K749">
        <v>166</v>
      </c>
      <c r="L749">
        <v>549</v>
      </c>
      <c r="M749">
        <v>1.9582152974504199</v>
      </c>
      <c r="N749" t="s">
        <v>21</v>
      </c>
      <c r="O749">
        <v>0</v>
      </c>
    </row>
    <row r="750" spans="1:15" x14ac:dyDescent="0.35">
      <c r="A750">
        <v>749</v>
      </c>
      <c r="B750" t="s">
        <v>15</v>
      </c>
      <c r="C750" t="s">
        <v>24</v>
      </c>
      <c r="D750" s="1">
        <v>45413</v>
      </c>
      <c r="E750" t="s">
        <v>25</v>
      </c>
      <c r="F750">
        <v>14</v>
      </c>
      <c r="G750">
        <v>209</v>
      </c>
      <c r="H750">
        <v>5</v>
      </c>
      <c r="I750">
        <v>1007</v>
      </c>
      <c r="J750">
        <v>47</v>
      </c>
      <c r="K750">
        <v>326</v>
      </c>
      <c r="L750">
        <v>589</v>
      </c>
      <c r="M750">
        <v>1.9553128103277</v>
      </c>
      <c r="N750" t="s">
        <v>21</v>
      </c>
      <c r="O750">
        <v>0</v>
      </c>
    </row>
    <row r="751" spans="1:15" x14ac:dyDescent="0.35">
      <c r="A751">
        <v>750</v>
      </c>
      <c r="B751" t="s">
        <v>22</v>
      </c>
      <c r="C751" t="s">
        <v>24</v>
      </c>
      <c r="D751" s="1">
        <v>45397</v>
      </c>
      <c r="E751" t="s">
        <v>29</v>
      </c>
      <c r="F751">
        <v>10</v>
      </c>
      <c r="G751">
        <v>210</v>
      </c>
      <c r="H751">
        <v>14</v>
      </c>
      <c r="I751">
        <v>4657</v>
      </c>
      <c r="J751">
        <v>729</v>
      </c>
      <c r="K751">
        <v>37</v>
      </c>
      <c r="L751">
        <v>682</v>
      </c>
      <c r="M751">
        <v>1.31092978312218</v>
      </c>
      <c r="N751" t="s">
        <v>23</v>
      </c>
      <c r="O751">
        <v>0</v>
      </c>
    </row>
    <row r="752" spans="1:15" x14ac:dyDescent="0.35">
      <c r="A752">
        <v>751</v>
      </c>
      <c r="B752" t="s">
        <v>15</v>
      </c>
      <c r="C752" t="s">
        <v>24</v>
      </c>
      <c r="D752" s="1">
        <v>45568</v>
      </c>
      <c r="E752" t="s">
        <v>27</v>
      </c>
      <c r="F752">
        <v>21</v>
      </c>
      <c r="G752">
        <v>94</v>
      </c>
      <c r="H752">
        <v>14</v>
      </c>
      <c r="I752">
        <v>1381</v>
      </c>
      <c r="J752">
        <v>551</v>
      </c>
      <c r="K752">
        <v>310</v>
      </c>
      <c r="L752">
        <v>125</v>
      </c>
      <c r="M752">
        <v>1.7139753801593001</v>
      </c>
      <c r="N752" t="s">
        <v>21</v>
      </c>
      <c r="O752">
        <v>0</v>
      </c>
    </row>
    <row r="753" spans="1:15" x14ac:dyDescent="0.35">
      <c r="A753">
        <v>752</v>
      </c>
      <c r="B753" t="s">
        <v>22</v>
      </c>
      <c r="C753" t="s">
        <v>19</v>
      </c>
      <c r="D753" s="1">
        <v>45455</v>
      </c>
      <c r="E753" t="s">
        <v>25</v>
      </c>
      <c r="F753">
        <v>15</v>
      </c>
      <c r="G753">
        <v>262</v>
      </c>
      <c r="H753">
        <v>9</v>
      </c>
      <c r="I753">
        <v>1328</v>
      </c>
      <c r="J753">
        <v>9</v>
      </c>
      <c r="K753">
        <v>561</v>
      </c>
      <c r="L753">
        <v>520</v>
      </c>
      <c r="M753">
        <v>1.82078313253012</v>
      </c>
      <c r="N753" t="s">
        <v>21</v>
      </c>
      <c r="O753">
        <v>0</v>
      </c>
    </row>
    <row r="754" spans="1:15" x14ac:dyDescent="0.35">
      <c r="A754">
        <v>753</v>
      </c>
      <c r="B754" t="s">
        <v>26</v>
      </c>
      <c r="C754" t="s">
        <v>16</v>
      </c>
      <c r="D754" s="1">
        <v>45585</v>
      </c>
      <c r="E754" t="s">
        <v>20</v>
      </c>
      <c r="F754">
        <v>21</v>
      </c>
      <c r="G754">
        <v>40</v>
      </c>
      <c r="H754">
        <v>4</v>
      </c>
      <c r="I754">
        <v>1254</v>
      </c>
      <c r="J754">
        <v>583</v>
      </c>
      <c r="K754">
        <v>454</v>
      </c>
      <c r="L754">
        <v>347</v>
      </c>
      <c r="M754">
        <v>2.1036682615629898</v>
      </c>
      <c r="N754" t="s">
        <v>21</v>
      </c>
      <c r="O754">
        <v>0</v>
      </c>
    </row>
    <row r="755" spans="1:15" x14ac:dyDescent="0.35">
      <c r="A755">
        <v>754</v>
      </c>
      <c r="B755" t="s">
        <v>26</v>
      </c>
      <c r="C755" t="s">
        <v>16</v>
      </c>
      <c r="D755" s="1">
        <v>45574</v>
      </c>
      <c r="E755" t="s">
        <v>25</v>
      </c>
      <c r="F755">
        <v>20</v>
      </c>
      <c r="G755">
        <v>202</v>
      </c>
      <c r="H755">
        <v>2</v>
      </c>
      <c r="I755">
        <v>1007</v>
      </c>
      <c r="J755">
        <v>320</v>
      </c>
      <c r="K755">
        <v>27</v>
      </c>
      <c r="L755">
        <v>412</v>
      </c>
      <c r="M755">
        <v>1.7537239324726901</v>
      </c>
      <c r="N755" t="s">
        <v>21</v>
      </c>
      <c r="O755">
        <v>0</v>
      </c>
    </row>
    <row r="756" spans="1:15" x14ac:dyDescent="0.35">
      <c r="A756">
        <v>755</v>
      </c>
      <c r="B756" t="s">
        <v>26</v>
      </c>
      <c r="C756" t="s">
        <v>16</v>
      </c>
      <c r="D756" s="1">
        <v>45459</v>
      </c>
      <c r="E756" t="s">
        <v>20</v>
      </c>
      <c r="F756">
        <v>14</v>
      </c>
      <c r="G756">
        <v>120</v>
      </c>
      <c r="H756">
        <v>0</v>
      </c>
      <c r="I756">
        <v>500</v>
      </c>
      <c r="J756">
        <v>627</v>
      </c>
      <c r="K756">
        <v>201</v>
      </c>
      <c r="L756">
        <v>598</v>
      </c>
      <c r="M756">
        <v>3.8519999999999999</v>
      </c>
      <c r="N756" t="s">
        <v>18</v>
      </c>
      <c r="O756">
        <v>0</v>
      </c>
    </row>
    <row r="757" spans="1:15" x14ac:dyDescent="0.35">
      <c r="A757">
        <v>756</v>
      </c>
      <c r="B757" t="s">
        <v>22</v>
      </c>
      <c r="C757" t="s">
        <v>16</v>
      </c>
      <c r="D757" s="1">
        <v>45334</v>
      </c>
      <c r="E757" t="s">
        <v>29</v>
      </c>
      <c r="F757">
        <v>21</v>
      </c>
      <c r="G757">
        <v>182</v>
      </c>
      <c r="H757">
        <v>19</v>
      </c>
      <c r="I757">
        <v>4460</v>
      </c>
      <c r="J757">
        <v>461</v>
      </c>
      <c r="K757">
        <v>91</v>
      </c>
      <c r="L757">
        <v>525</v>
      </c>
      <c r="M757">
        <v>1.2414798206277999</v>
      </c>
      <c r="N757" t="s">
        <v>23</v>
      </c>
      <c r="O757">
        <v>0</v>
      </c>
    </row>
    <row r="758" spans="1:15" x14ac:dyDescent="0.35">
      <c r="A758">
        <v>757</v>
      </c>
      <c r="B758" t="s">
        <v>15</v>
      </c>
      <c r="C758" t="s">
        <v>19</v>
      </c>
      <c r="D758" s="1">
        <v>45553</v>
      </c>
      <c r="E758" t="s">
        <v>25</v>
      </c>
      <c r="F758">
        <v>19</v>
      </c>
      <c r="G758">
        <v>209</v>
      </c>
      <c r="H758">
        <v>12</v>
      </c>
      <c r="I758">
        <v>509</v>
      </c>
      <c r="J758">
        <v>687</v>
      </c>
      <c r="K758">
        <v>371</v>
      </c>
      <c r="L758">
        <v>408</v>
      </c>
      <c r="M758">
        <v>3.8801571709233702</v>
      </c>
      <c r="N758" t="s">
        <v>18</v>
      </c>
      <c r="O758">
        <v>0</v>
      </c>
    </row>
    <row r="759" spans="1:15" x14ac:dyDescent="0.35">
      <c r="A759">
        <v>758</v>
      </c>
      <c r="B759" t="s">
        <v>22</v>
      </c>
      <c r="C759" t="s">
        <v>24</v>
      </c>
      <c r="D759" s="1">
        <v>45482</v>
      </c>
      <c r="E759" t="s">
        <v>17</v>
      </c>
      <c r="F759">
        <v>23</v>
      </c>
      <c r="G759">
        <v>64</v>
      </c>
      <c r="H759">
        <v>6</v>
      </c>
      <c r="I759">
        <v>149</v>
      </c>
      <c r="J759">
        <v>296</v>
      </c>
      <c r="K759">
        <v>355</v>
      </c>
      <c r="L759">
        <v>360</v>
      </c>
      <c r="M759">
        <v>7.7852348993288496</v>
      </c>
      <c r="N759" t="s">
        <v>18</v>
      </c>
      <c r="O759">
        <v>0</v>
      </c>
    </row>
    <row r="760" spans="1:15" x14ac:dyDescent="0.35">
      <c r="A760">
        <v>759</v>
      </c>
      <c r="B760" t="s">
        <v>26</v>
      </c>
      <c r="C760" t="s">
        <v>24</v>
      </c>
      <c r="D760" s="1">
        <v>45519</v>
      </c>
      <c r="E760" t="s">
        <v>27</v>
      </c>
      <c r="F760">
        <v>19</v>
      </c>
      <c r="G760">
        <v>91</v>
      </c>
      <c r="H760">
        <v>18</v>
      </c>
      <c r="I760">
        <v>3454</v>
      </c>
      <c r="J760">
        <v>458</v>
      </c>
      <c r="K760">
        <v>297</v>
      </c>
      <c r="L760">
        <v>168</v>
      </c>
      <c r="M760">
        <v>1.26722640416907</v>
      </c>
      <c r="N760" t="s">
        <v>23</v>
      </c>
      <c r="O760">
        <v>0</v>
      </c>
    </row>
    <row r="761" spans="1:15" x14ac:dyDescent="0.35">
      <c r="A761">
        <v>760</v>
      </c>
      <c r="B761" t="s">
        <v>26</v>
      </c>
      <c r="C761" t="s">
        <v>24</v>
      </c>
      <c r="D761" s="1">
        <v>45336</v>
      </c>
      <c r="E761" t="s">
        <v>25</v>
      </c>
      <c r="F761">
        <v>8</v>
      </c>
      <c r="G761">
        <v>212</v>
      </c>
      <c r="H761">
        <v>2</v>
      </c>
      <c r="I761">
        <v>1226</v>
      </c>
      <c r="J761">
        <v>217</v>
      </c>
      <c r="K761">
        <v>312</v>
      </c>
      <c r="L761">
        <v>487</v>
      </c>
      <c r="M761">
        <v>1.8287112561174499</v>
      </c>
      <c r="N761" t="s">
        <v>21</v>
      </c>
      <c r="O761">
        <v>0</v>
      </c>
    </row>
    <row r="762" spans="1:15" x14ac:dyDescent="0.35">
      <c r="A762">
        <v>761</v>
      </c>
      <c r="B762" t="s">
        <v>15</v>
      </c>
      <c r="C762" t="s">
        <v>19</v>
      </c>
      <c r="D762" s="1">
        <v>45295</v>
      </c>
      <c r="E762" t="s">
        <v>27</v>
      </c>
      <c r="F762">
        <v>20</v>
      </c>
      <c r="G762">
        <v>90</v>
      </c>
      <c r="H762">
        <v>6</v>
      </c>
      <c r="I762">
        <v>3404</v>
      </c>
      <c r="J762">
        <v>659</v>
      </c>
      <c r="K762">
        <v>281</v>
      </c>
      <c r="L762">
        <v>425</v>
      </c>
      <c r="M762">
        <v>1.4009988249118599</v>
      </c>
      <c r="N762" t="s">
        <v>23</v>
      </c>
      <c r="O762">
        <v>0</v>
      </c>
    </row>
    <row r="763" spans="1:15" x14ac:dyDescent="0.35">
      <c r="A763">
        <v>762</v>
      </c>
      <c r="B763" t="s">
        <v>15</v>
      </c>
      <c r="C763" t="s">
        <v>24</v>
      </c>
      <c r="D763" s="1">
        <v>45387</v>
      </c>
      <c r="E763" t="s">
        <v>30</v>
      </c>
      <c r="F763">
        <v>15</v>
      </c>
      <c r="G763">
        <v>272</v>
      </c>
      <c r="H763">
        <v>17</v>
      </c>
      <c r="I763">
        <v>3177</v>
      </c>
      <c r="J763">
        <v>301</v>
      </c>
      <c r="K763">
        <v>569</v>
      </c>
      <c r="L763">
        <v>503</v>
      </c>
      <c r="M763">
        <v>1.43216871262197</v>
      </c>
      <c r="N763" t="s">
        <v>23</v>
      </c>
      <c r="O763">
        <v>0</v>
      </c>
    </row>
    <row r="764" spans="1:15" x14ac:dyDescent="0.35">
      <c r="A764">
        <v>763</v>
      </c>
      <c r="B764" t="s">
        <v>22</v>
      </c>
      <c r="C764" t="s">
        <v>24</v>
      </c>
      <c r="D764" s="1">
        <v>45529</v>
      </c>
      <c r="E764" t="s">
        <v>20</v>
      </c>
      <c r="F764">
        <v>21</v>
      </c>
      <c r="G764">
        <v>83</v>
      </c>
      <c r="H764">
        <v>20</v>
      </c>
      <c r="I764">
        <v>1889</v>
      </c>
      <c r="J764">
        <v>32</v>
      </c>
      <c r="K764">
        <v>4</v>
      </c>
      <c r="L764">
        <v>158</v>
      </c>
      <c r="M764">
        <v>1.10269984118581</v>
      </c>
      <c r="N764" t="s">
        <v>23</v>
      </c>
      <c r="O764">
        <v>0</v>
      </c>
    </row>
    <row r="765" spans="1:15" x14ac:dyDescent="0.35">
      <c r="A765">
        <v>764</v>
      </c>
      <c r="B765" t="s">
        <v>15</v>
      </c>
      <c r="C765" t="s">
        <v>16</v>
      </c>
      <c r="D765" s="1">
        <v>45439</v>
      </c>
      <c r="E765" t="s">
        <v>29</v>
      </c>
      <c r="F765">
        <v>9</v>
      </c>
      <c r="G765">
        <v>161</v>
      </c>
      <c r="H765">
        <v>15</v>
      </c>
      <c r="I765">
        <v>3467</v>
      </c>
      <c r="J765">
        <v>188</v>
      </c>
      <c r="K765">
        <v>505</v>
      </c>
      <c r="L765">
        <v>661</v>
      </c>
      <c r="M765">
        <v>1.3905393712142999</v>
      </c>
      <c r="N765" t="s">
        <v>23</v>
      </c>
      <c r="O765">
        <v>0</v>
      </c>
    </row>
    <row r="766" spans="1:15" x14ac:dyDescent="0.35">
      <c r="A766">
        <v>765</v>
      </c>
      <c r="B766" t="s">
        <v>22</v>
      </c>
      <c r="C766" t="s">
        <v>19</v>
      </c>
      <c r="D766" s="1">
        <v>45326</v>
      </c>
      <c r="E766" t="s">
        <v>20</v>
      </c>
      <c r="F766">
        <v>19</v>
      </c>
      <c r="G766">
        <v>152</v>
      </c>
      <c r="H766">
        <v>20</v>
      </c>
      <c r="I766">
        <v>4956</v>
      </c>
      <c r="J766">
        <v>768</v>
      </c>
      <c r="K766">
        <v>372</v>
      </c>
      <c r="L766">
        <v>596</v>
      </c>
      <c r="M766">
        <v>1.3502824858757001</v>
      </c>
      <c r="N766" t="s">
        <v>23</v>
      </c>
      <c r="O766">
        <v>0</v>
      </c>
    </row>
    <row r="767" spans="1:15" x14ac:dyDescent="0.35">
      <c r="A767">
        <v>766</v>
      </c>
      <c r="B767" t="s">
        <v>15</v>
      </c>
      <c r="C767" t="s">
        <v>24</v>
      </c>
      <c r="D767" s="1">
        <v>45535</v>
      </c>
      <c r="E767" t="s">
        <v>28</v>
      </c>
      <c r="F767">
        <v>11</v>
      </c>
      <c r="G767">
        <v>49</v>
      </c>
      <c r="H767">
        <v>4</v>
      </c>
      <c r="I767">
        <v>1029</v>
      </c>
      <c r="J767">
        <v>387</v>
      </c>
      <c r="K767">
        <v>526</v>
      </c>
      <c r="L767">
        <v>590</v>
      </c>
      <c r="M767">
        <v>2.4606413994168999</v>
      </c>
      <c r="N767" t="s">
        <v>18</v>
      </c>
      <c r="O767">
        <v>0</v>
      </c>
    </row>
    <row r="768" spans="1:15" x14ac:dyDescent="0.35">
      <c r="A768">
        <v>767</v>
      </c>
      <c r="B768" t="s">
        <v>15</v>
      </c>
      <c r="C768" t="s">
        <v>16</v>
      </c>
      <c r="D768" s="1">
        <v>45455</v>
      </c>
      <c r="E768" t="s">
        <v>25</v>
      </c>
      <c r="F768">
        <v>14</v>
      </c>
      <c r="G768">
        <v>204</v>
      </c>
      <c r="H768">
        <v>13</v>
      </c>
      <c r="I768">
        <v>3826</v>
      </c>
      <c r="J768">
        <v>714</v>
      </c>
      <c r="K768">
        <v>140</v>
      </c>
      <c r="L768">
        <v>366</v>
      </c>
      <c r="M768">
        <v>1.31887088342916</v>
      </c>
      <c r="N768" t="s">
        <v>23</v>
      </c>
      <c r="O768">
        <v>0</v>
      </c>
    </row>
    <row r="769" spans="1:15" x14ac:dyDescent="0.35">
      <c r="A769">
        <v>768</v>
      </c>
      <c r="B769" t="s">
        <v>26</v>
      </c>
      <c r="C769" t="s">
        <v>16</v>
      </c>
      <c r="D769" s="1">
        <v>45474</v>
      </c>
      <c r="E769" t="s">
        <v>29</v>
      </c>
      <c r="F769">
        <v>22</v>
      </c>
      <c r="G769">
        <v>119</v>
      </c>
      <c r="H769">
        <v>20</v>
      </c>
      <c r="I769">
        <v>449</v>
      </c>
      <c r="J769">
        <v>301</v>
      </c>
      <c r="K769">
        <v>300</v>
      </c>
      <c r="L769">
        <v>543</v>
      </c>
      <c r="M769">
        <v>3.5478841870824001</v>
      </c>
      <c r="N769" t="s">
        <v>18</v>
      </c>
      <c r="O769">
        <v>0</v>
      </c>
    </row>
    <row r="770" spans="1:15" x14ac:dyDescent="0.35">
      <c r="A770">
        <v>769</v>
      </c>
      <c r="B770" t="s">
        <v>22</v>
      </c>
      <c r="C770" t="s">
        <v>24</v>
      </c>
      <c r="D770" s="1">
        <v>45385</v>
      </c>
      <c r="E770" t="s">
        <v>25</v>
      </c>
      <c r="F770">
        <v>15</v>
      </c>
      <c r="G770">
        <v>158</v>
      </c>
      <c r="H770">
        <v>11</v>
      </c>
      <c r="I770">
        <v>824</v>
      </c>
      <c r="J770">
        <v>618</v>
      </c>
      <c r="K770">
        <v>173</v>
      </c>
      <c r="L770">
        <v>557</v>
      </c>
      <c r="M770">
        <v>2.6359223300970802</v>
      </c>
      <c r="N770" t="s">
        <v>18</v>
      </c>
      <c r="O770">
        <v>0</v>
      </c>
    </row>
    <row r="771" spans="1:15" x14ac:dyDescent="0.35">
      <c r="A771">
        <v>770</v>
      </c>
      <c r="B771" t="s">
        <v>15</v>
      </c>
      <c r="C771" t="s">
        <v>16</v>
      </c>
      <c r="D771" s="1">
        <v>45341</v>
      </c>
      <c r="E771" t="s">
        <v>29</v>
      </c>
      <c r="F771">
        <v>22</v>
      </c>
      <c r="G771">
        <v>164</v>
      </c>
      <c r="H771">
        <v>11</v>
      </c>
      <c r="I771">
        <v>4427</v>
      </c>
      <c r="J771">
        <v>598</v>
      </c>
      <c r="K771">
        <v>362</v>
      </c>
      <c r="L771">
        <v>148</v>
      </c>
      <c r="M771">
        <v>1.25028235825615</v>
      </c>
      <c r="N771" t="s">
        <v>23</v>
      </c>
      <c r="O771">
        <v>0</v>
      </c>
    </row>
    <row r="772" spans="1:15" x14ac:dyDescent="0.35">
      <c r="A772">
        <v>771</v>
      </c>
      <c r="B772" t="s">
        <v>15</v>
      </c>
      <c r="C772" t="s">
        <v>16</v>
      </c>
      <c r="D772" s="1">
        <v>45540</v>
      </c>
      <c r="E772" t="s">
        <v>27</v>
      </c>
      <c r="F772">
        <v>22</v>
      </c>
      <c r="G772">
        <v>133</v>
      </c>
      <c r="H772">
        <v>6</v>
      </c>
      <c r="I772">
        <v>3425</v>
      </c>
      <c r="J772">
        <v>353</v>
      </c>
      <c r="K772">
        <v>168</v>
      </c>
      <c r="L772">
        <v>105</v>
      </c>
      <c r="M772">
        <v>1.18277372262773</v>
      </c>
      <c r="N772" t="s">
        <v>23</v>
      </c>
      <c r="O772">
        <v>0</v>
      </c>
    </row>
    <row r="773" spans="1:15" x14ac:dyDescent="0.35">
      <c r="A773">
        <v>772</v>
      </c>
      <c r="B773" t="s">
        <v>22</v>
      </c>
      <c r="C773" t="s">
        <v>24</v>
      </c>
      <c r="D773" s="1">
        <v>45578</v>
      </c>
      <c r="E773" t="s">
        <v>20</v>
      </c>
      <c r="F773">
        <v>8</v>
      </c>
      <c r="G773">
        <v>79</v>
      </c>
      <c r="H773">
        <v>4</v>
      </c>
      <c r="I773">
        <v>4356</v>
      </c>
      <c r="J773">
        <v>549</v>
      </c>
      <c r="K773">
        <v>566</v>
      </c>
      <c r="L773">
        <v>117</v>
      </c>
      <c r="M773">
        <v>1.28282828282828</v>
      </c>
      <c r="N773" t="s">
        <v>23</v>
      </c>
      <c r="O773">
        <v>0</v>
      </c>
    </row>
    <row r="774" spans="1:15" x14ac:dyDescent="0.35">
      <c r="A774">
        <v>773</v>
      </c>
      <c r="B774" t="s">
        <v>15</v>
      </c>
      <c r="C774" t="s">
        <v>24</v>
      </c>
      <c r="D774" s="1">
        <v>45300</v>
      </c>
      <c r="E774" t="s">
        <v>17</v>
      </c>
      <c r="F774">
        <v>22</v>
      </c>
      <c r="G774">
        <v>195</v>
      </c>
      <c r="H774">
        <v>5</v>
      </c>
      <c r="I774">
        <v>3978</v>
      </c>
      <c r="J774">
        <v>361</v>
      </c>
      <c r="K774">
        <v>321</v>
      </c>
      <c r="L774">
        <v>372</v>
      </c>
      <c r="M774">
        <v>1.26495726495726</v>
      </c>
      <c r="N774" t="s">
        <v>23</v>
      </c>
      <c r="O774">
        <v>0</v>
      </c>
    </row>
    <row r="775" spans="1:15" x14ac:dyDescent="0.35">
      <c r="A775">
        <v>774</v>
      </c>
      <c r="B775" t="s">
        <v>15</v>
      </c>
      <c r="C775" t="s">
        <v>19</v>
      </c>
      <c r="D775" s="1">
        <v>45447</v>
      </c>
      <c r="E775" t="s">
        <v>17</v>
      </c>
      <c r="F775">
        <v>10</v>
      </c>
      <c r="G775">
        <v>136</v>
      </c>
      <c r="H775">
        <v>9</v>
      </c>
      <c r="I775">
        <v>285</v>
      </c>
      <c r="J775">
        <v>767</v>
      </c>
      <c r="K775">
        <v>123</v>
      </c>
      <c r="L775">
        <v>228</v>
      </c>
      <c r="M775">
        <v>4.9228070175438496</v>
      </c>
      <c r="N775" t="s">
        <v>18</v>
      </c>
      <c r="O775">
        <v>0</v>
      </c>
    </row>
    <row r="776" spans="1:15" x14ac:dyDescent="0.35">
      <c r="A776">
        <v>775</v>
      </c>
      <c r="B776" t="s">
        <v>26</v>
      </c>
      <c r="C776" t="s">
        <v>16</v>
      </c>
      <c r="D776" s="1">
        <v>45356</v>
      </c>
      <c r="E776" t="s">
        <v>17</v>
      </c>
      <c r="F776">
        <v>8</v>
      </c>
      <c r="G776">
        <v>29</v>
      </c>
      <c r="H776">
        <v>15</v>
      </c>
      <c r="I776">
        <v>1769</v>
      </c>
      <c r="J776">
        <v>138</v>
      </c>
      <c r="K776">
        <v>82</v>
      </c>
      <c r="L776">
        <v>436</v>
      </c>
      <c r="M776">
        <v>1.3708309779536401</v>
      </c>
      <c r="N776" t="s">
        <v>23</v>
      </c>
      <c r="O776">
        <v>0</v>
      </c>
    </row>
    <row r="777" spans="1:15" x14ac:dyDescent="0.35">
      <c r="A777">
        <v>776</v>
      </c>
      <c r="B777" t="s">
        <v>26</v>
      </c>
      <c r="C777" t="s">
        <v>19</v>
      </c>
      <c r="D777" s="1">
        <v>45512</v>
      </c>
      <c r="E777" t="s">
        <v>27</v>
      </c>
      <c r="F777">
        <v>7</v>
      </c>
      <c r="G777">
        <v>260</v>
      </c>
      <c r="H777">
        <v>3</v>
      </c>
      <c r="I777">
        <v>398</v>
      </c>
      <c r="J777">
        <v>206</v>
      </c>
      <c r="K777">
        <v>112</v>
      </c>
      <c r="L777">
        <v>34</v>
      </c>
      <c r="M777">
        <v>1.8844221105527601</v>
      </c>
      <c r="N777" t="s">
        <v>21</v>
      </c>
      <c r="O777">
        <v>0</v>
      </c>
    </row>
    <row r="778" spans="1:15" x14ac:dyDescent="0.35">
      <c r="A778">
        <v>777</v>
      </c>
      <c r="B778" t="s">
        <v>15</v>
      </c>
      <c r="C778" t="s">
        <v>16</v>
      </c>
      <c r="D778" s="1">
        <v>45421</v>
      </c>
      <c r="E778" t="s">
        <v>27</v>
      </c>
      <c r="F778">
        <v>9</v>
      </c>
      <c r="G778">
        <v>125</v>
      </c>
      <c r="H778">
        <v>18</v>
      </c>
      <c r="I778">
        <v>404</v>
      </c>
      <c r="J778">
        <v>72</v>
      </c>
      <c r="K778">
        <v>310</v>
      </c>
      <c r="L778">
        <v>684</v>
      </c>
      <c r="M778">
        <v>3.6386138613861299</v>
      </c>
      <c r="N778" t="s">
        <v>18</v>
      </c>
      <c r="O778">
        <v>0</v>
      </c>
    </row>
    <row r="779" spans="1:15" x14ac:dyDescent="0.35">
      <c r="A779">
        <v>778</v>
      </c>
      <c r="B779" t="s">
        <v>15</v>
      </c>
      <c r="C779" t="s">
        <v>16</v>
      </c>
      <c r="D779" s="1">
        <v>45394</v>
      </c>
      <c r="E779" t="s">
        <v>30</v>
      </c>
      <c r="F779">
        <v>14</v>
      </c>
      <c r="G779">
        <v>198</v>
      </c>
      <c r="H779">
        <v>11</v>
      </c>
      <c r="I779">
        <v>1563</v>
      </c>
      <c r="J779">
        <v>691</v>
      </c>
      <c r="K779">
        <v>361</v>
      </c>
      <c r="L779">
        <v>30</v>
      </c>
      <c r="M779">
        <v>1.69225847728726</v>
      </c>
      <c r="N779" t="s">
        <v>21</v>
      </c>
      <c r="O779">
        <v>0</v>
      </c>
    </row>
    <row r="780" spans="1:15" x14ac:dyDescent="0.35">
      <c r="A780">
        <v>779</v>
      </c>
      <c r="B780" t="s">
        <v>26</v>
      </c>
      <c r="C780" t="s">
        <v>16</v>
      </c>
      <c r="D780" s="1">
        <v>45374</v>
      </c>
      <c r="E780" t="s">
        <v>28</v>
      </c>
      <c r="F780">
        <v>9</v>
      </c>
      <c r="G780">
        <v>27</v>
      </c>
      <c r="H780">
        <v>16</v>
      </c>
      <c r="I780">
        <v>4151</v>
      </c>
      <c r="J780">
        <v>751</v>
      </c>
      <c r="K780">
        <v>249</v>
      </c>
      <c r="L780">
        <v>518</v>
      </c>
      <c r="M780">
        <v>1.36569501324981</v>
      </c>
      <c r="N780" t="s">
        <v>23</v>
      </c>
      <c r="O780">
        <v>0</v>
      </c>
    </row>
    <row r="781" spans="1:15" x14ac:dyDescent="0.35">
      <c r="A781">
        <v>780</v>
      </c>
      <c r="B781" t="s">
        <v>15</v>
      </c>
      <c r="C781" t="s">
        <v>19</v>
      </c>
      <c r="D781" s="1">
        <v>45403</v>
      </c>
      <c r="E781" t="s">
        <v>20</v>
      </c>
      <c r="F781">
        <v>9</v>
      </c>
      <c r="G781">
        <v>129</v>
      </c>
      <c r="H781">
        <v>16</v>
      </c>
      <c r="I781">
        <v>1619</v>
      </c>
      <c r="J781">
        <v>293</v>
      </c>
      <c r="K781">
        <v>177</v>
      </c>
      <c r="L781">
        <v>551</v>
      </c>
      <c r="M781">
        <v>1.6306361951822099</v>
      </c>
      <c r="N781" t="s">
        <v>21</v>
      </c>
      <c r="O781">
        <v>0</v>
      </c>
    </row>
    <row r="782" spans="1:15" x14ac:dyDescent="0.35">
      <c r="A782">
        <v>781</v>
      </c>
      <c r="B782" t="s">
        <v>26</v>
      </c>
      <c r="C782" t="s">
        <v>16</v>
      </c>
      <c r="D782" s="1">
        <v>45535</v>
      </c>
      <c r="E782" t="s">
        <v>28</v>
      </c>
      <c r="F782">
        <v>11</v>
      </c>
      <c r="G782">
        <v>201</v>
      </c>
      <c r="H782">
        <v>12</v>
      </c>
      <c r="I782">
        <v>3052</v>
      </c>
      <c r="J782">
        <v>719</v>
      </c>
      <c r="K782">
        <v>191</v>
      </c>
      <c r="L782">
        <v>451</v>
      </c>
      <c r="M782">
        <v>1.4459370904325</v>
      </c>
      <c r="N782" t="s">
        <v>23</v>
      </c>
      <c r="O782">
        <v>0</v>
      </c>
    </row>
    <row r="783" spans="1:15" x14ac:dyDescent="0.35">
      <c r="A783">
        <v>782</v>
      </c>
      <c r="B783" t="s">
        <v>15</v>
      </c>
      <c r="C783" t="s">
        <v>24</v>
      </c>
      <c r="D783" s="1">
        <v>45509</v>
      </c>
      <c r="E783" t="s">
        <v>29</v>
      </c>
      <c r="F783">
        <v>9</v>
      </c>
      <c r="G783">
        <v>258</v>
      </c>
      <c r="H783">
        <v>3</v>
      </c>
      <c r="I783">
        <v>1805</v>
      </c>
      <c r="J783">
        <v>531</v>
      </c>
      <c r="K783">
        <v>235</v>
      </c>
      <c r="L783">
        <v>418</v>
      </c>
      <c r="M783">
        <v>1.65595567867036</v>
      </c>
      <c r="N783" t="s">
        <v>21</v>
      </c>
      <c r="O783">
        <v>0</v>
      </c>
    </row>
    <row r="784" spans="1:15" x14ac:dyDescent="0.35">
      <c r="A784">
        <v>783</v>
      </c>
      <c r="B784" t="s">
        <v>26</v>
      </c>
      <c r="C784" t="s">
        <v>19</v>
      </c>
      <c r="D784" s="1">
        <v>45558</v>
      </c>
      <c r="E784" t="s">
        <v>29</v>
      </c>
      <c r="F784">
        <v>7</v>
      </c>
      <c r="G784">
        <v>62</v>
      </c>
      <c r="H784">
        <v>10</v>
      </c>
      <c r="I784">
        <v>1163</v>
      </c>
      <c r="J784">
        <v>512</v>
      </c>
      <c r="K784">
        <v>371</v>
      </c>
      <c r="L784">
        <v>296</v>
      </c>
      <c r="M784">
        <v>2.0137575236457401</v>
      </c>
      <c r="N784" t="s">
        <v>21</v>
      </c>
      <c r="O784">
        <v>0</v>
      </c>
    </row>
    <row r="785" spans="1:15" x14ac:dyDescent="0.35">
      <c r="A785">
        <v>784</v>
      </c>
      <c r="B785" t="s">
        <v>26</v>
      </c>
      <c r="C785" t="s">
        <v>19</v>
      </c>
      <c r="D785" s="1">
        <v>45544</v>
      </c>
      <c r="E785" t="s">
        <v>29</v>
      </c>
      <c r="F785">
        <v>15</v>
      </c>
      <c r="G785">
        <v>247</v>
      </c>
      <c r="H785">
        <v>7</v>
      </c>
      <c r="I785">
        <v>997</v>
      </c>
      <c r="J785">
        <v>399</v>
      </c>
      <c r="K785">
        <v>292</v>
      </c>
      <c r="L785">
        <v>468</v>
      </c>
      <c r="M785">
        <v>2.1624874623871602</v>
      </c>
      <c r="N785" t="s">
        <v>21</v>
      </c>
      <c r="O785">
        <v>0</v>
      </c>
    </row>
    <row r="786" spans="1:15" x14ac:dyDescent="0.35">
      <c r="A786">
        <v>785</v>
      </c>
      <c r="B786" t="s">
        <v>15</v>
      </c>
      <c r="C786" t="s">
        <v>24</v>
      </c>
      <c r="D786" s="1">
        <v>45575</v>
      </c>
      <c r="E786" t="s">
        <v>27</v>
      </c>
      <c r="F786">
        <v>17</v>
      </c>
      <c r="G786">
        <v>111</v>
      </c>
      <c r="H786">
        <v>0</v>
      </c>
      <c r="I786">
        <v>3386</v>
      </c>
      <c r="J786">
        <v>302</v>
      </c>
      <c r="K786">
        <v>440</v>
      </c>
      <c r="L786">
        <v>194</v>
      </c>
      <c r="M786">
        <v>1.27643236857649</v>
      </c>
      <c r="N786" t="s">
        <v>23</v>
      </c>
      <c r="O786">
        <v>0</v>
      </c>
    </row>
    <row r="787" spans="1:15" x14ac:dyDescent="0.35">
      <c r="A787">
        <v>786</v>
      </c>
      <c r="B787" t="s">
        <v>26</v>
      </c>
      <c r="C787" t="s">
        <v>19</v>
      </c>
      <c r="D787" s="1">
        <v>45543</v>
      </c>
      <c r="E787" t="s">
        <v>20</v>
      </c>
      <c r="F787">
        <v>8</v>
      </c>
      <c r="G787">
        <v>81</v>
      </c>
      <c r="H787">
        <v>4</v>
      </c>
      <c r="I787">
        <v>911</v>
      </c>
      <c r="J787">
        <v>410</v>
      </c>
      <c r="K787">
        <v>450</v>
      </c>
      <c r="L787">
        <v>536</v>
      </c>
      <c r="M787">
        <v>2.53238199780461</v>
      </c>
      <c r="N787" t="s">
        <v>18</v>
      </c>
      <c r="O787">
        <v>0</v>
      </c>
    </row>
    <row r="788" spans="1:15" x14ac:dyDescent="0.35">
      <c r="A788">
        <v>787</v>
      </c>
      <c r="B788" t="s">
        <v>15</v>
      </c>
      <c r="C788" t="s">
        <v>24</v>
      </c>
      <c r="D788" s="1">
        <v>45494</v>
      </c>
      <c r="E788" t="s">
        <v>20</v>
      </c>
      <c r="F788">
        <v>12</v>
      </c>
      <c r="G788">
        <v>193</v>
      </c>
      <c r="H788">
        <v>6</v>
      </c>
      <c r="I788">
        <v>3331</v>
      </c>
      <c r="J788">
        <v>716</v>
      </c>
      <c r="K788">
        <v>106</v>
      </c>
      <c r="L788">
        <v>173</v>
      </c>
      <c r="M788">
        <v>1.2987090963674499</v>
      </c>
      <c r="N788" t="s">
        <v>23</v>
      </c>
      <c r="O788">
        <v>0</v>
      </c>
    </row>
    <row r="789" spans="1:15" x14ac:dyDescent="0.35">
      <c r="A789">
        <v>788</v>
      </c>
      <c r="B789" t="s">
        <v>22</v>
      </c>
      <c r="C789" t="s">
        <v>19</v>
      </c>
      <c r="D789" s="1">
        <v>45498</v>
      </c>
      <c r="E789" t="s">
        <v>27</v>
      </c>
      <c r="F789">
        <v>14</v>
      </c>
      <c r="G789">
        <v>224</v>
      </c>
      <c r="H789">
        <v>11</v>
      </c>
      <c r="I789">
        <v>1055</v>
      </c>
      <c r="J789">
        <v>243</v>
      </c>
      <c r="K789">
        <v>436</v>
      </c>
      <c r="L789">
        <v>512</v>
      </c>
      <c r="M789">
        <v>2.1289099526066302</v>
      </c>
      <c r="N789" t="s">
        <v>21</v>
      </c>
      <c r="O789">
        <v>0</v>
      </c>
    </row>
    <row r="790" spans="1:15" x14ac:dyDescent="0.35">
      <c r="A790">
        <v>789</v>
      </c>
      <c r="B790" t="s">
        <v>22</v>
      </c>
      <c r="C790" t="s">
        <v>16</v>
      </c>
      <c r="D790" s="1">
        <v>45535</v>
      </c>
      <c r="E790" t="s">
        <v>28</v>
      </c>
      <c r="F790">
        <v>20</v>
      </c>
      <c r="G790">
        <v>75</v>
      </c>
      <c r="H790">
        <v>3</v>
      </c>
      <c r="I790">
        <v>4991</v>
      </c>
      <c r="J790">
        <v>419</v>
      </c>
      <c r="K790">
        <v>498</v>
      </c>
      <c r="L790">
        <v>524</v>
      </c>
      <c r="M790">
        <v>1.2887196954518101</v>
      </c>
      <c r="N790" t="s">
        <v>23</v>
      </c>
      <c r="O790">
        <v>0</v>
      </c>
    </row>
    <row r="791" spans="1:15" x14ac:dyDescent="0.35">
      <c r="A791">
        <v>790</v>
      </c>
      <c r="B791" t="s">
        <v>15</v>
      </c>
      <c r="C791" t="s">
        <v>16</v>
      </c>
      <c r="D791" s="1">
        <v>45420</v>
      </c>
      <c r="E791" t="s">
        <v>25</v>
      </c>
      <c r="F791">
        <v>9</v>
      </c>
      <c r="G791">
        <v>47</v>
      </c>
      <c r="H791">
        <v>2</v>
      </c>
      <c r="I791">
        <v>4058</v>
      </c>
      <c r="J791">
        <v>514</v>
      </c>
      <c r="K791">
        <v>238</v>
      </c>
      <c r="L791">
        <v>644</v>
      </c>
      <c r="M791">
        <v>1.34401182848693</v>
      </c>
      <c r="N791" t="s">
        <v>23</v>
      </c>
      <c r="O791">
        <v>0</v>
      </c>
    </row>
    <row r="792" spans="1:15" x14ac:dyDescent="0.35">
      <c r="A792">
        <v>791</v>
      </c>
      <c r="B792" t="s">
        <v>26</v>
      </c>
      <c r="C792" t="s">
        <v>24</v>
      </c>
      <c r="D792" s="1">
        <v>45547</v>
      </c>
      <c r="E792" t="s">
        <v>27</v>
      </c>
      <c r="F792">
        <v>10</v>
      </c>
      <c r="G792">
        <v>175</v>
      </c>
      <c r="H792">
        <v>19</v>
      </c>
      <c r="I792">
        <v>269</v>
      </c>
      <c r="J792">
        <v>188</v>
      </c>
      <c r="K792">
        <v>393</v>
      </c>
      <c r="L792">
        <v>620</v>
      </c>
      <c r="M792">
        <v>5.4646840148698796</v>
      </c>
      <c r="N792" t="s">
        <v>18</v>
      </c>
      <c r="O792">
        <v>0</v>
      </c>
    </row>
    <row r="793" spans="1:15" x14ac:dyDescent="0.35">
      <c r="A793">
        <v>792</v>
      </c>
      <c r="B793" t="s">
        <v>22</v>
      </c>
      <c r="C793" t="s">
        <v>16</v>
      </c>
      <c r="D793" s="1">
        <v>45341</v>
      </c>
      <c r="E793" t="s">
        <v>29</v>
      </c>
      <c r="F793">
        <v>15</v>
      </c>
      <c r="G793">
        <v>274</v>
      </c>
      <c r="H793">
        <v>15</v>
      </c>
      <c r="I793">
        <v>676</v>
      </c>
      <c r="J793">
        <v>681</v>
      </c>
      <c r="K793">
        <v>534</v>
      </c>
      <c r="L793">
        <v>505</v>
      </c>
      <c r="M793">
        <v>3.54437869822485</v>
      </c>
      <c r="N793" t="s">
        <v>18</v>
      </c>
      <c r="O793">
        <v>0</v>
      </c>
    </row>
    <row r="794" spans="1:15" x14ac:dyDescent="0.35">
      <c r="A794">
        <v>793</v>
      </c>
      <c r="B794" t="s">
        <v>26</v>
      </c>
      <c r="C794" t="s">
        <v>16</v>
      </c>
      <c r="D794" s="1">
        <v>45550</v>
      </c>
      <c r="E794" t="s">
        <v>20</v>
      </c>
      <c r="F794">
        <v>7</v>
      </c>
      <c r="G794">
        <v>240</v>
      </c>
      <c r="H794">
        <v>3</v>
      </c>
      <c r="I794">
        <v>2193</v>
      </c>
      <c r="J794">
        <v>560</v>
      </c>
      <c r="K794">
        <v>353</v>
      </c>
      <c r="L794">
        <v>554</v>
      </c>
      <c r="M794">
        <v>1.6689466484268101</v>
      </c>
      <c r="N794" t="s">
        <v>21</v>
      </c>
      <c r="O794">
        <v>0</v>
      </c>
    </row>
    <row r="795" spans="1:15" x14ac:dyDescent="0.35">
      <c r="A795">
        <v>794</v>
      </c>
      <c r="B795" t="s">
        <v>22</v>
      </c>
      <c r="C795" t="s">
        <v>16</v>
      </c>
      <c r="D795" s="1">
        <v>45488</v>
      </c>
      <c r="E795" t="s">
        <v>29</v>
      </c>
      <c r="F795">
        <v>7</v>
      </c>
      <c r="G795">
        <v>110</v>
      </c>
      <c r="H795">
        <v>17</v>
      </c>
      <c r="I795">
        <v>3737</v>
      </c>
      <c r="J795">
        <v>327</v>
      </c>
      <c r="K795">
        <v>387</v>
      </c>
      <c r="L795">
        <v>454</v>
      </c>
      <c r="M795">
        <v>1.3125501739363099</v>
      </c>
      <c r="N795" t="s">
        <v>23</v>
      </c>
      <c r="O795">
        <v>0</v>
      </c>
    </row>
    <row r="796" spans="1:15" x14ac:dyDescent="0.35">
      <c r="A796">
        <v>795</v>
      </c>
      <c r="B796" t="s">
        <v>22</v>
      </c>
      <c r="C796" t="s">
        <v>19</v>
      </c>
      <c r="D796" s="1">
        <v>45447</v>
      </c>
      <c r="E796" t="s">
        <v>17</v>
      </c>
      <c r="F796">
        <v>18</v>
      </c>
      <c r="G796">
        <v>269</v>
      </c>
      <c r="H796">
        <v>3</v>
      </c>
      <c r="I796">
        <v>1394</v>
      </c>
      <c r="J796">
        <v>508</v>
      </c>
      <c r="K796">
        <v>443</v>
      </c>
      <c r="L796">
        <v>138</v>
      </c>
      <c r="M796">
        <v>1.78120516499282</v>
      </c>
      <c r="N796" t="s">
        <v>21</v>
      </c>
      <c r="O796">
        <v>0</v>
      </c>
    </row>
    <row r="797" spans="1:15" x14ac:dyDescent="0.35">
      <c r="A797">
        <v>796</v>
      </c>
      <c r="B797" t="s">
        <v>26</v>
      </c>
      <c r="C797" t="s">
        <v>24</v>
      </c>
      <c r="D797" s="1">
        <v>45583</v>
      </c>
      <c r="E797" t="s">
        <v>30</v>
      </c>
      <c r="F797">
        <v>21</v>
      </c>
      <c r="G797">
        <v>100</v>
      </c>
      <c r="H797">
        <v>16</v>
      </c>
      <c r="I797">
        <v>4068</v>
      </c>
      <c r="J797">
        <v>680</v>
      </c>
      <c r="K797">
        <v>569</v>
      </c>
      <c r="L797">
        <v>553</v>
      </c>
      <c r="M797">
        <v>1.44296951819075</v>
      </c>
      <c r="N797" t="s">
        <v>23</v>
      </c>
      <c r="O797">
        <v>0</v>
      </c>
    </row>
    <row r="798" spans="1:15" x14ac:dyDescent="0.35">
      <c r="A798">
        <v>797</v>
      </c>
      <c r="B798" t="s">
        <v>22</v>
      </c>
      <c r="C798" t="s">
        <v>19</v>
      </c>
      <c r="D798" s="1">
        <v>45320</v>
      </c>
      <c r="E798" t="s">
        <v>29</v>
      </c>
      <c r="F798">
        <v>17</v>
      </c>
      <c r="G798">
        <v>165</v>
      </c>
      <c r="H798">
        <v>10</v>
      </c>
      <c r="I798">
        <v>3256</v>
      </c>
      <c r="J798">
        <v>274</v>
      </c>
      <c r="K798">
        <v>508</v>
      </c>
      <c r="L798">
        <v>606</v>
      </c>
      <c r="M798">
        <v>1.42628992628992</v>
      </c>
      <c r="N798" t="s">
        <v>23</v>
      </c>
      <c r="O798">
        <v>0</v>
      </c>
    </row>
    <row r="799" spans="1:15" x14ac:dyDescent="0.35">
      <c r="A799">
        <v>798</v>
      </c>
      <c r="B799" t="s">
        <v>22</v>
      </c>
      <c r="C799" t="s">
        <v>24</v>
      </c>
      <c r="D799" s="1">
        <v>45323</v>
      </c>
      <c r="E799" t="s">
        <v>27</v>
      </c>
      <c r="F799">
        <v>6</v>
      </c>
      <c r="G799">
        <v>194</v>
      </c>
      <c r="H799">
        <v>12</v>
      </c>
      <c r="I799">
        <v>280</v>
      </c>
      <c r="J799">
        <v>609</v>
      </c>
      <c r="K799">
        <v>48</v>
      </c>
      <c r="L799">
        <v>132</v>
      </c>
      <c r="M799">
        <v>3.81785714285714</v>
      </c>
      <c r="N799" t="s">
        <v>18</v>
      </c>
      <c r="O799">
        <v>0</v>
      </c>
    </row>
    <row r="800" spans="1:15" x14ac:dyDescent="0.35">
      <c r="A800">
        <v>799</v>
      </c>
      <c r="B800" t="s">
        <v>22</v>
      </c>
      <c r="C800" t="s">
        <v>16</v>
      </c>
      <c r="D800" s="1">
        <v>45341</v>
      </c>
      <c r="E800" t="s">
        <v>29</v>
      </c>
      <c r="F800">
        <v>13</v>
      </c>
      <c r="G800">
        <v>146</v>
      </c>
      <c r="H800">
        <v>7</v>
      </c>
      <c r="I800">
        <v>3557</v>
      </c>
      <c r="J800">
        <v>358</v>
      </c>
      <c r="K800">
        <v>367</v>
      </c>
      <c r="L800">
        <v>422</v>
      </c>
      <c r="M800">
        <v>1.3224627495080099</v>
      </c>
      <c r="N800" t="s">
        <v>23</v>
      </c>
      <c r="O800">
        <v>0</v>
      </c>
    </row>
    <row r="801" spans="1:15" x14ac:dyDescent="0.35">
      <c r="A801">
        <v>800</v>
      </c>
      <c r="B801" t="s">
        <v>15</v>
      </c>
      <c r="C801" t="s">
        <v>24</v>
      </c>
      <c r="D801" s="1">
        <v>45451</v>
      </c>
      <c r="E801" t="s">
        <v>28</v>
      </c>
      <c r="F801">
        <v>11</v>
      </c>
      <c r="G801">
        <v>30</v>
      </c>
      <c r="H801">
        <v>17</v>
      </c>
      <c r="I801">
        <v>4904</v>
      </c>
      <c r="J801">
        <v>91</v>
      </c>
      <c r="K801">
        <v>69</v>
      </c>
      <c r="L801">
        <v>313</v>
      </c>
      <c r="M801">
        <v>1.0964518760195701</v>
      </c>
      <c r="N801" t="s">
        <v>23</v>
      </c>
      <c r="O801">
        <v>0</v>
      </c>
    </row>
    <row r="802" spans="1:15" x14ac:dyDescent="0.35">
      <c r="A802">
        <v>801</v>
      </c>
      <c r="B802" t="s">
        <v>26</v>
      </c>
      <c r="C802" t="s">
        <v>24</v>
      </c>
      <c r="D802" s="1">
        <v>45458</v>
      </c>
      <c r="E802" t="s">
        <v>28</v>
      </c>
      <c r="F802">
        <v>14</v>
      </c>
      <c r="G802">
        <v>30</v>
      </c>
      <c r="H802">
        <v>15</v>
      </c>
      <c r="I802">
        <v>356</v>
      </c>
      <c r="J802">
        <v>476</v>
      </c>
      <c r="K802">
        <v>434</v>
      </c>
      <c r="L802">
        <v>582</v>
      </c>
      <c r="M802">
        <v>5.1910112359550498</v>
      </c>
      <c r="N802" t="s">
        <v>18</v>
      </c>
      <c r="O802">
        <v>0</v>
      </c>
    </row>
    <row r="803" spans="1:15" x14ac:dyDescent="0.35">
      <c r="A803">
        <v>802</v>
      </c>
      <c r="B803" t="s">
        <v>22</v>
      </c>
      <c r="C803" t="s">
        <v>19</v>
      </c>
      <c r="D803" s="1">
        <v>45303</v>
      </c>
      <c r="E803" t="s">
        <v>30</v>
      </c>
      <c r="F803">
        <v>9</v>
      </c>
      <c r="G803">
        <v>270</v>
      </c>
      <c r="H803">
        <v>3</v>
      </c>
      <c r="I803">
        <v>2642</v>
      </c>
      <c r="J803">
        <v>391</v>
      </c>
      <c r="K803">
        <v>586</v>
      </c>
      <c r="L803">
        <v>400</v>
      </c>
      <c r="M803">
        <v>1.52119606358819</v>
      </c>
      <c r="N803" t="s">
        <v>23</v>
      </c>
      <c r="O803">
        <v>0</v>
      </c>
    </row>
    <row r="804" spans="1:15" x14ac:dyDescent="0.35">
      <c r="A804">
        <v>803</v>
      </c>
      <c r="B804" t="s">
        <v>22</v>
      </c>
      <c r="C804" t="s">
        <v>16</v>
      </c>
      <c r="D804" s="1">
        <v>45397</v>
      </c>
      <c r="E804" t="s">
        <v>29</v>
      </c>
      <c r="F804">
        <v>15</v>
      </c>
      <c r="G804">
        <v>206</v>
      </c>
      <c r="H804">
        <v>13</v>
      </c>
      <c r="I804">
        <v>2802</v>
      </c>
      <c r="J804">
        <v>513</v>
      </c>
      <c r="K804">
        <v>516</v>
      </c>
      <c r="L804">
        <v>684</v>
      </c>
      <c r="M804">
        <v>1.61134903640256</v>
      </c>
      <c r="N804" t="s">
        <v>21</v>
      </c>
      <c r="O804">
        <v>0</v>
      </c>
    </row>
    <row r="805" spans="1:15" x14ac:dyDescent="0.35">
      <c r="A805">
        <v>804</v>
      </c>
      <c r="B805" t="s">
        <v>15</v>
      </c>
      <c r="C805" t="s">
        <v>24</v>
      </c>
      <c r="D805" s="1">
        <v>45395</v>
      </c>
      <c r="E805" t="s">
        <v>28</v>
      </c>
      <c r="F805">
        <v>14</v>
      </c>
      <c r="G805">
        <v>44</v>
      </c>
      <c r="H805">
        <v>9</v>
      </c>
      <c r="I805">
        <v>4121</v>
      </c>
      <c r="J805">
        <v>655</v>
      </c>
      <c r="K805">
        <v>79</v>
      </c>
      <c r="L805">
        <v>549</v>
      </c>
      <c r="M805">
        <v>1.3113322009221</v>
      </c>
      <c r="N805" t="s">
        <v>23</v>
      </c>
      <c r="O805">
        <v>0</v>
      </c>
    </row>
    <row r="806" spans="1:15" x14ac:dyDescent="0.35">
      <c r="A806">
        <v>805</v>
      </c>
      <c r="B806" t="s">
        <v>15</v>
      </c>
      <c r="C806" t="s">
        <v>19</v>
      </c>
      <c r="D806" s="1">
        <v>45585</v>
      </c>
      <c r="E806" t="s">
        <v>20</v>
      </c>
      <c r="F806">
        <v>16</v>
      </c>
      <c r="G806">
        <v>159</v>
      </c>
      <c r="H806">
        <v>2</v>
      </c>
      <c r="I806">
        <v>3343</v>
      </c>
      <c r="J806">
        <v>236</v>
      </c>
      <c r="K806">
        <v>96</v>
      </c>
      <c r="L806">
        <v>593</v>
      </c>
      <c r="M806">
        <v>1.27669757702662</v>
      </c>
      <c r="N806" t="s">
        <v>23</v>
      </c>
      <c r="O806">
        <v>0</v>
      </c>
    </row>
    <row r="807" spans="1:15" x14ac:dyDescent="0.35">
      <c r="A807">
        <v>806</v>
      </c>
      <c r="B807" t="s">
        <v>22</v>
      </c>
      <c r="C807" t="s">
        <v>16</v>
      </c>
      <c r="D807" s="1">
        <v>45582</v>
      </c>
      <c r="E807" t="s">
        <v>27</v>
      </c>
      <c r="F807">
        <v>15</v>
      </c>
      <c r="G807">
        <v>278</v>
      </c>
      <c r="H807">
        <v>9</v>
      </c>
      <c r="I807">
        <v>4400</v>
      </c>
      <c r="J807">
        <v>491</v>
      </c>
      <c r="K807">
        <v>439</v>
      </c>
      <c r="L807">
        <v>215</v>
      </c>
      <c r="M807">
        <v>1.2602272727272701</v>
      </c>
      <c r="N807" t="s">
        <v>23</v>
      </c>
      <c r="O807">
        <v>0</v>
      </c>
    </row>
    <row r="808" spans="1:15" x14ac:dyDescent="0.35">
      <c r="A808">
        <v>807</v>
      </c>
      <c r="B808" t="s">
        <v>22</v>
      </c>
      <c r="C808" t="s">
        <v>24</v>
      </c>
      <c r="D808" s="1">
        <v>45513</v>
      </c>
      <c r="E808" t="s">
        <v>30</v>
      </c>
      <c r="F808">
        <v>22</v>
      </c>
      <c r="G808">
        <v>252</v>
      </c>
      <c r="H808">
        <v>17</v>
      </c>
      <c r="I808">
        <v>4473</v>
      </c>
      <c r="J808">
        <v>325</v>
      </c>
      <c r="K808">
        <v>206</v>
      </c>
      <c r="L808">
        <v>425</v>
      </c>
      <c r="M808">
        <v>1.2137268052761001</v>
      </c>
      <c r="N808" t="s">
        <v>23</v>
      </c>
      <c r="O808">
        <v>0</v>
      </c>
    </row>
    <row r="809" spans="1:15" x14ac:dyDescent="0.35">
      <c r="A809">
        <v>808</v>
      </c>
      <c r="B809" t="s">
        <v>26</v>
      </c>
      <c r="C809" t="s">
        <v>24</v>
      </c>
      <c r="D809" s="1">
        <v>45384</v>
      </c>
      <c r="E809" t="s">
        <v>17</v>
      </c>
      <c r="F809">
        <v>12</v>
      </c>
      <c r="G809">
        <v>259</v>
      </c>
      <c r="H809">
        <v>8</v>
      </c>
      <c r="I809">
        <v>202</v>
      </c>
      <c r="J809">
        <v>647</v>
      </c>
      <c r="K809">
        <v>530</v>
      </c>
      <c r="L809">
        <v>192</v>
      </c>
      <c r="M809">
        <v>7.7772277227722704</v>
      </c>
      <c r="N809" t="s">
        <v>18</v>
      </c>
      <c r="O809">
        <v>0</v>
      </c>
    </row>
    <row r="810" spans="1:15" x14ac:dyDescent="0.35">
      <c r="A810">
        <v>809</v>
      </c>
      <c r="B810" t="s">
        <v>15</v>
      </c>
      <c r="C810" t="s">
        <v>24</v>
      </c>
      <c r="D810" s="1">
        <v>45564</v>
      </c>
      <c r="E810" t="s">
        <v>20</v>
      </c>
      <c r="F810">
        <v>20</v>
      </c>
      <c r="G810">
        <v>95</v>
      </c>
      <c r="H810">
        <v>7</v>
      </c>
      <c r="I810">
        <v>3603</v>
      </c>
      <c r="J810">
        <v>584</v>
      </c>
      <c r="K810">
        <v>63</v>
      </c>
      <c r="L810">
        <v>535</v>
      </c>
      <c r="M810">
        <v>1.3280599500416299</v>
      </c>
      <c r="N810" t="s">
        <v>23</v>
      </c>
      <c r="O810">
        <v>0</v>
      </c>
    </row>
    <row r="811" spans="1:15" x14ac:dyDescent="0.35">
      <c r="A811">
        <v>810</v>
      </c>
      <c r="B811" t="s">
        <v>15</v>
      </c>
      <c r="C811" t="s">
        <v>19</v>
      </c>
      <c r="D811" s="1">
        <v>45369</v>
      </c>
      <c r="E811" t="s">
        <v>29</v>
      </c>
      <c r="F811">
        <v>12</v>
      </c>
      <c r="G811">
        <v>231</v>
      </c>
      <c r="H811">
        <v>8</v>
      </c>
      <c r="I811">
        <v>2509</v>
      </c>
      <c r="J811">
        <v>450</v>
      </c>
      <c r="K811">
        <v>422</v>
      </c>
      <c r="L811">
        <v>327</v>
      </c>
      <c r="M811">
        <v>1.4778796333200399</v>
      </c>
      <c r="N811" t="s">
        <v>23</v>
      </c>
      <c r="O811">
        <v>0</v>
      </c>
    </row>
    <row r="812" spans="1:15" x14ac:dyDescent="0.35">
      <c r="A812">
        <v>811</v>
      </c>
      <c r="B812" t="s">
        <v>15</v>
      </c>
      <c r="C812" t="s">
        <v>16</v>
      </c>
      <c r="D812" s="1">
        <v>45438</v>
      </c>
      <c r="E812" t="s">
        <v>20</v>
      </c>
      <c r="F812">
        <v>10</v>
      </c>
      <c r="G812">
        <v>118</v>
      </c>
      <c r="H812">
        <v>0</v>
      </c>
      <c r="I812">
        <v>1365</v>
      </c>
      <c r="J812">
        <v>267</v>
      </c>
      <c r="K812">
        <v>243</v>
      </c>
      <c r="L812">
        <v>416</v>
      </c>
      <c r="M812">
        <v>1.67838827838827</v>
      </c>
      <c r="N812" t="s">
        <v>21</v>
      </c>
      <c r="O812">
        <v>0</v>
      </c>
    </row>
    <row r="813" spans="1:15" x14ac:dyDescent="0.35">
      <c r="A813">
        <v>812</v>
      </c>
      <c r="B813" t="s">
        <v>22</v>
      </c>
      <c r="C813" t="s">
        <v>24</v>
      </c>
      <c r="D813" s="1">
        <v>45417</v>
      </c>
      <c r="E813" t="s">
        <v>20</v>
      </c>
      <c r="F813">
        <v>7</v>
      </c>
      <c r="G813">
        <v>123</v>
      </c>
      <c r="H813">
        <v>5</v>
      </c>
      <c r="I813">
        <v>2593</v>
      </c>
      <c r="J813">
        <v>480</v>
      </c>
      <c r="K813">
        <v>499</v>
      </c>
      <c r="L813">
        <v>574</v>
      </c>
      <c r="M813">
        <v>1.5989201696876201</v>
      </c>
      <c r="N813" t="s">
        <v>23</v>
      </c>
      <c r="O813">
        <v>0</v>
      </c>
    </row>
    <row r="814" spans="1:15" x14ac:dyDescent="0.35">
      <c r="A814">
        <v>813</v>
      </c>
      <c r="B814" t="s">
        <v>26</v>
      </c>
      <c r="C814" t="s">
        <v>19</v>
      </c>
      <c r="D814" s="1">
        <v>45431</v>
      </c>
      <c r="E814" t="s">
        <v>20</v>
      </c>
      <c r="F814">
        <v>11</v>
      </c>
      <c r="G814">
        <v>41</v>
      </c>
      <c r="H814">
        <v>15</v>
      </c>
      <c r="I814">
        <v>1167</v>
      </c>
      <c r="J814">
        <v>34</v>
      </c>
      <c r="K814">
        <v>266</v>
      </c>
      <c r="L814">
        <v>285</v>
      </c>
      <c r="M814">
        <v>1.5012853470437</v>
      </c>
      <c r="N814" t="s">
        <v>23</v>
      </c>
      <c r="O814">
        <v>0</v>
      </c>
    </row>
    <row r="815" spans="1:15" x14ac:dyDescent="0.35">
      <c r="A815">
        <v>814</v>
      </c>
      <c r="B815" t="s">
        <v>22</v>
      </c>
      <c r="C815" t="s">
        <v>16</v>
      </c>
      <c r="D815" s="1">
        <v>45302</v>
      </c>
      <c r="E815" t="s">
        <v>27</v>
      </c>
      <c r="F815">
        <v>19</v>
      </c>
      <c r="G815">
        <v>206</v>
      </c>
      <c r="H815">
        <v>2</v>
      </c>
      <c r="I815">
        <v>503</v>
      </c>
      <c r="J815">
        <v>90</v>
      </c>
      <c r="K815">
        <v>323</v>
      </c>
      <c r="L815">
        <v>617</v>
      </c>
      <c r="M815">
        <v>3.04771371769383</v>
      </c>
      <c r="N815" t="s">
        <v>18</v>
      </c>
      <c r="O815">
        <v>0</v>
      </c>
    </row>
    <row r="816" spans="1:15" x14ac:dyDescent="0.35">
      <c r="A816">
        <v>815</v>
      </c>
      <c r="B816" t="s">
        <v>26</v>
      </c>
      <c r="C816" t="s">
        <v>19</v>
      </c>
      <c r="D816" s="1">
        <v>45495</v>
      </c>
      <c r="E816" t="s">
        <v>29</v>
      </c>
      <c r="F816">
        <v>9</v>
      </c>
      <c r="G816">
        <v>287</v>
      </c>
      <c r="H816">
        <v>18</v>
      </c>
      <c r="I816">
        <v>1201</v>
      </c>
      <c r="J816">
        <v>246</v>
      </c>
      <c r="K816">
        <v>116</v>
      </c>
      <c r="L816">
        <v>585</v>
      </c>
      <c r="M816">
        <v>1.78850957535387</v>
      </c>
      <c r="N816" t="s">
        <v>21</v>
      </c>
      <c r="O816">
        <v>0</v>
      </c>
    </row>
    <row r="817" spans="1:15" x14ac:dyDescent="0.35">
      <c r="A817">
        <v>816</v>
      </c>
      <c r="B817" t="s">
        <v>26</v>
      </c>
      <c r="C817" t="s">
        <v>16</v>
      </c>
      <c r="D817" s="1">
        <v>45560</v>
      </c>
      <c r="E817" t="s">
        <v>25</v>
      </c>
      <c r="F817">
        <v>16</v>
      </c>
      <c r="G817">
        <v>188</v>
      </c>
      <c r="H817">
        <v>18</v>
      </c>
      <c r="I817">
        <v>2112</v>
      </c>
      <c r="J817">
        <v>513</v>
      </c>
      <c r="K817">
        <v>94</v>
      </c>
      <c r="L817">
        <v>244</v>
      </c>
      <c r="M817">
        <v>1.4029356060606</v>
      </c>
      <c r="N817" t="s">
        <v>23</v>
      </c>
      <c r="O817">
        <v>0</v>
      </c>
    </row>
    <row r="818" spans="1:15" x14ac:dyDescent="0.35">
      <c r="A818">
        <v>817</v>
      </c>
      <c r="B818" t="s">
        <v>15</v>
      </c>
      <c r="C818" t="s">
        <v>16</v>
      </c>
      <c r="D818" s="1">
        <v>45491</v>
      </c>
      <c r="E818" t="s">
        <v>27</v>
      </c>
      <c r="F818">
        <v>12</v>
      </c>
      <c r="G818">
        <v>160</v>
      </c>
      <c r="H818">
        <v>14</v>
      </c>
      <c r="I818">
        <v>1982</v>
      </c>
      <c r="J818">
        <v>438</v>
      </c>
      <c r="K818">
        <v>225</v>
      </c>
      <c r="L818">
        <v>148</v>
      </c>
      <c r="M818">
        <v>1.4091826437941399</v>
      </c>
      <c r="N818" t="s">
        <v>23</v>
      </c>
      <c r="O818">
        <v>0</v>
      </c>
    </row>
    <row r="819" spans="1:15" x14ac:dyDescent="0.35">
      <c r="A819">
        <v>818</v>
      </c>
      <c r="B819" t="s">
        <v>26</v>
      </c>
      <c r="C819" t="s">
        <v>24</v>
      </c>
      <c r="D819" s="1">
        <v>45501</v>
      </c>
      <c r="E819" t="s">
        <v>20</v>
      </c>
      <c r="F819">
        <v>9</v>
      </c>
      <c r="G819">
        <v>182</v>
      </c>
      <c r="H819">
        <v>17</v>
      </c>
      <c r="I819">
        <v>2133</v>
      </c>
      <c r="J819">
        <v>608</v>
      </c>
      <c r="K819">
        <v>59</v>
      </c>
      <c r="L819">
        <v>503</v>
      </c>
      <c r="M819">
        <v>1.5485232067510499</v>
      </c>
      <c r="N819" t="s">
        <v>23</v>
      </c>
      <c r="O819">
        <v>0</v>
      </c>
    </row>
    <row r="820" spans="1:15" x14ac:dyDescent="0.35">
      <c r="A820">
        <v>819</v>
      </c>
      <c r="B820" t="s">
        <v>15</v>
      </c>
      <c r="C820" t="s">
        <v>24</v>
      </c>
      <c r="D820" s="1">
        <v>45508</v>
      </c>
      <c r="E820" t="s">
        <v>20</v>
      </c>
      <c r="F820">
        <v>21</v>
      </c>
      <c r="G820">
        <v>208</v>
      </c>
      <c r="H820">
        <v>9</v>
      </c>
      <c r="I820">
        <v>3940</v>
      </c>
      <c r="J820">
        <v>704</v>
      </c>
      <c r="K820">
        <v>254</v>
      </c>
      <c r="L820">
        <v>285</v>
      </c>
      <c r="M820">
        <v>1.31548223350253</v>
      </c>
      <c r="N820" t="s">
        <v>23</v>
      </c>
      <c r="O820">
        <v>0</v>
      </c>
    </row>
    <row r="821" spans="1:15" x14ac:dyDescent="0.35">
      <c r="A821">
        <v>820</v>
      </c>
      <c r="B821" t="s">
        <v>15</v>
      </c>
      <c r="C821" t="s">
        <v>24</v>
      </c>
      <c r="D821" s="1">
        <v>45302</v>
      </c>
      <c r="E821" t="s">
        <v>27</v>
      </c>
      <c r="F821">
        <v>23</v>
      </c>
      <c r="G821">
        <v>216</v>
      </c>
      <c r="H821">
        <v>9</v>
      </c>
      <c r="I821">
        <v>335</v>
      </c>
      <c r="J821">
        <v>762</v>
      </c>
      <c r="K821">
        <v>57</v>
      </c>
      <c r="L821">
        <v>688</v>
      </c>
      <c r="M821">
        <v>5.4985074626865602</v>
      </c>
      <c r="N821" t="s">
        <v>18</v>
      </c>
      <c r="O821">
        <v>0</v>
      </c>
    </row>
    <row r="822" spans="1:15" x14ac:dyDescent="0.35">
      <c r="A822">
        <v>821</v>
      </c>
      <c r="B822" t="s">
        <v>22</v>
      </c>
      <c r="C822" t="s">
        <v>16</v>
      </c>
      <c r="D822" s="1">
        <v>45477</v>
      </c>
      <c r="E822" t="s">
        <v>27</v>
      </c>
      <c r="F822">
        <v>18</v>
      </c>
      <c r="G822">
        <v>150</v>
      </c>
      <c r="H822">
        <v>9</v>
      </c>
      <c r="I822">
        <v>1049</v>
      </c>
      <c r="J822">
        <v>552</v>
      </c>
      <c r="K822">
        <v>244</v>
      </c>
      <c r="L822">
        <v>454</v>
      </c>
      <c r="M822">
        <v>2.1916110581506199</v>
      </c>
      <c r="N822" t="s">
        <v>21</v>
      </c>
      <c r="O822">
        <v>0</v>
      </c>
    </row>
    <row r="823" spans="1:15" x14ac:dyDescent="0.35">
      <c r="A823">
        <v>822</v>
      </c>
      <c r="B823" t="s">
        <v>22</v>
      </c>
      <c r="C823" t="s">
        <v>19</v>
      </c>
      <c r="D823" s="1">
        <v>45338</v>
      </c>
      <c r="E823" t="s">
        <v>30</v>
      </c>
      <c r="F823">
        <v>16</v>
      </c>
      <c r="G823">
        <v>228</v>
      </c>
      <c r="H823">
        <v>1</v>
      </c>
      <c r="I823">
        <v>1978</v>
      </c>
      <c r="J823">
        <v>309</v>
      </c>
      <c r="K823">
        <v>217</v>
      </c>
      <c r="L823">
        <v>165</v>
      </c>
      <c r="M823">
        <v>1.3493427704752201</v>
      </c>
      <c r="N823" t="s">
        <v>23</v>
      </c>
      <c r="O823">
        <v>0</v>
      </c>
    </row>
    <row r="824" spans="1:15" x14ac:dyDescent="0.35">
      <c r="A824">
        <v>823</v>
      </c>
      <c r="B824" t="s">
        <v>22</v>
      </c>
      <c r="C824" t="s">
        <v>19</v>
      </c>
      <c r="D824" s="1">
        <v>45432</v>
      </c>
      <c r="E824" t="s">
        <v>29</v>
      </c>
      <c r="F824">
        <v>19</v>
      </c>
      <c r="G824">
        <v>71</v>
      </c>
      <c r="H824">
        <v>5</v>
      </c>
      <c r="I824">
        <v>706</v>
      </c>
      <c r="J824">
        <v>508</v>
      </c>
      <c r="K824">
        <v>484</v>
      </c>
      <c r="L824">
        <v>423</v>
      </c>
      <c r="M824">
        <v>3.0042492917847001</v>
      </c>
      <c r="N824" t="s">
        <v>18</v>
      </c>
      <c r="O824">
        <v>0</v>
      </c>
    </row>
    <row r="825" spans="1:15" x14ac:dyDescent="0.35">
      <c r="A825">
        <v>824</v>
      </c>
      <c r="B825" t="s">
        <v>26</v>
      </c>
      <c r="C825" t="s">
        <v>19</v>
      </c>
      <c r="D825" s="1">
        <v>45425</v>
      </c>
      <c r="E825" t="s">
        <v>29</v>
      </c>
      <c r="F825">
        <v>23</v>
      </c>
      <c r="G825">
        <v>187</v>
      </c>
      <c r="H825">
        <v>14</v>
      </c>
      <c r="I825">
        <v>4197</v>
      </c>
      <c r="J825">
        <v>72</v>
      </c>
      <c r="K825">
        <v>362</v>
      </c>
      <c r="L825">
        <v>431</v>
      </c>
      <c r="M825">
        <v>1.2060995949487701</v>
      </c>
      <c r="N825" t="s">
        <v>23</v>
      </c>
      <c r="O825">
        <v>0</v>
      </c>
    </row>
    <row r="826" spans="1:15" x14ac:dyDescent="0.35">
      <c r="A826">
        <v>825</v>
      </c>
      <c r="B826" t="s">
        <v>22</v>
      </c>
      <c r="C826" t="s">
        <v>19</v>
      </c>
      <c r="D826" s="1">
        <v>45306</v>
      </c>
      <c r="E826" t="s">
        <v>29</v>
      </c>
      <c r="F826">
        <v>10</v>
      </c>
      <c r="G826">
        <v>21</v>
      </c>
      <c r="H826">
        <v>12</v>
      </c>
      <c r="I826">
        <v>476</v>
      </c>
      <c r="J826">
        <v>661</v>
      </c>
      <c r="K826">
        <v>190</v>
      </c>
      <c r="L826">
        <v>646</v>
      </c>
      <c r="M826">
        <v>4.1449579831932697</v>
      </c>
      <c r="N826" t="s">
        <v>18</v>
      </c>
      <c r="O826">
        <v>0</v>
      </c>
    </row>
    <row r="827" spans="1:15" x14ac:dyDescent="0.35">
      <c r="A827">
        <v>826</v>
      </c>
      <c r="B827" t="s">
        <v>15</v>
      </c>
      <c r="C827" t="s">
        <v>16</v>
      </c>
      <c r="D827" s="1">
        <v>45394</v>
      </c>
      <c r="E827" t="s">
        <v>30</v>
      </c>
      <c r="F827">
        <v>13</v>
      </c>
      <c r="G827">
        <v>284</v>
      </c>
      <c r="H827">
        <v>20</v>
      </c>
      <c r="I827">
        <v>2553</v>
      </c>
      <c r="J827">
        <v>326</v>
      </c>
      <c r="K827">
        <v>591</v>
      </c>
      <c r="L827">
        <v>85</v>
      </c>
      <c r="M827">
        <v>1.39247943595769</v>
      </c>
      <c r="N827" t="s">
        <v>23</v>
      </c>
      <c r="O827">
        <v>0</v>
      </c>
    </row>
    <row r="828" spans="1:15" x14ac:dyDescent="0.35">
      <c r="A828">
        <v>827</v>
      </c>
      <c r="B828" t="s">
        <v>22</v>
      </c>
      <c r="C828" t="s">
        <v>24</v>
      </c>
      <c r="D828" s="1">
        <v>45358</v>
      </c>
      <c r="E828" t="s">
        <v>27</v>
      </c>
      <c r="F828">
        <v>10</v>
      </c>
      <c r="G828">
        <v>153</v>
      </c>
      <c r="H828">
        <v>5</v>
      </c>
      <c r="I828">
        <v>4916</v>
      </c>
      <c r="J828">
        <v>707</v>
      </c>
      <c r="K828">
        <v>422</v>
      </c>
      <c r="L828">
        <v>328</v>
      </c>
      <c r="M828">
        <v>1.29637917005695</v>
      </c>
      <c r="N828" t="s">
        <v>23</v>
      </c>
      <c r="O828">
        <v>0</v>
      </c>
    </row>
    <row r="829" spans="1:15" x14ac:dyDescent="0.35">
      <c r="A829">
        <v>828</v>
      </c>
      <c r="B829" t="s">
        <v>22</v>
      </c>
      <c r="C829" t="s">
        <v>16</v>
      </c>
      <c r="D829" s="1">
        <v>45459</v>
      </c>
      <c r="E829" t="s">
        <v>20</v>
      </c>
      <c r="F829">
        <v>18</v>
      </c>
      <c r="G829">
        <v>213</v>
      </c>
      <c r="H829">
        <v>18</v>
      </c>
      <c r="I829">
        <v>2358</v>
      </c>
      <c r="J829">
        <v>208</v>
      </c>
      <c r="K829">
        <v>88</v>
      </c>
      <c r="L829">
        <v>425</v>
      </c>
      <c r="M829">
        <v>1.3057675996607201</v>
      </c>
      <c r="N829" t="s">
        <v>23</v>
      </c>
      <c r="O829">
        <v>0</v>
      </c>
    </row>
    <row r="830" spans="1:15" x14ac:dyDescent="0.35">
      <c r="A830">
        <v>829</v>
      </c>
      <c r="B830" t="s">
        <v>26</v>
      </c>
      <c r="C830" t="s">
        <v>19</v>
      </c>
      <c r="D830" s="1">
        <v>45406</v>
      </c>
      <c r="E830" t="s">
        <v>25</v>
      </c>
      <c r="F830">
        <v>13</v>
      </c>
      <c r="G830">
        <v>65</v>
      </c>
      <c r="H830">
        <v>14</v>
      </c>
      <c r="I830">
        <v>219</v>
      </c>
      <c r="J830">
        <v>28</v>
      </c>
      <c r="K830">
        <v>573</v>
      </c>
      <c r="L830">
        <v>663</v>
      </c>
      <c r="M830">
        <v>6.7716894977168902</v>
      </c>
      <c r="N830" t="s">
        <v>18</v>
      </c>
      <c r="O830">
        <v>1</v>
      </c>
    </row>
    <row r="831" spans="1:15" x14ac:dyDescent="0.35">
      <c r="A831">
        <v>830</v>
      </c>
      <c r="B831" t="s">
        <v>22</v>
      </c>
      <c r="C831" t="s">
        <v>19</v>
      </c>
      <c r="D831" s="1">
        <v>45393</v>
      </c>
      <c r="E831" t="s">
        <v>27</v>
      </c>
      <c r="F831">
        <v>19</v>
      </c>
      <c r="G831">
        <v>153</v>
      </c>
      <c r="H831">
        <v>4</v>
      </c>
      <c r="I831">
        <v>2194</v>
      </c>
      <c r="J831">
        <v>723</v>
      </c>
      <c r="K831">
        <v>174</v>
      </c>
      <c r="L831">
        <v>51</v>
      </c>
      <c r="M831">
        <v>1.43208751139471</v>
      </c>
      <c r="N831" t="s">
        <v>23</v>
      </c>
      <c r="O831">
        <v>0</v>
      </c>
    </row>
    <row r="832" spans="1:15" x14ac:dyDescent="0.35">
      <c r="A832">
        <v>831</v>
      </c>
      <c r="B832" t="s">
        <v>15</v>
      </c>
      <c r="C832" t="s">
        <v>19</v>
      </c>
      <c r="D832" s="1">
        <v>45337</v>
      </c>
      <c r="E832" t="s">
        <v>27</v>
      </c>
      <c r="F832">
        <v>22</v>
      </c>
      <c r="G832">
        <v>242</v>
      </c>
      <c r="H832">
        <v>14</v>
      </c>
      <c r="I832">
        <v>3064</v>
      </c>
      <c r="J832">
        <v>179</v>
      </c>
      <c r="K832">
        <v>582</v>
      </c>
      <c r="L832">
        <v>121</v>
      </c>
      <c r="M832">
        <v>1.28785900783289</v>
      </c>
      <c r="N832" t="s">
        <v>23</v>
      </c>
      <c r="O832">
        <v>0</v>
      </c>
    </row>
    <row r="833" spans="1:15" x14ac:dyDescent="0.35">
      <c r="A833">
        <v>832</v>
      </c>
      <c r="B833" t="s">
        <v>22</v>
      </c>
      <c r="C833" t="s">
        <v>24</v>
      </c>
      <c r="D833" s="1">
        <v>45545</v>
      </c>
      <c r="E833" t="s">
        <v>17</v>
      </c>
      <c r="F833">
        <v>21</v>
      </c>
      <c r="G833">
        <v>215</v>
      </c>
      <c r="H833">
        <v>4</v>
      </c>
      <c r="I833">
        <v>1020</v>
      </c>
      <c r="J833">
        <v>234</v>
      </c>
      <c r="K833">
        <v>210</v>
      </c>
      <c r="L833">
        <v>196</v>
      </c>
      <c r="M833">
        <v>1.62745098039215</v>
      </c>
      <c r="N833" t="s">
        <v>21</v>
      </c>
      <c r="O833">
        <v>0</v>
      </c>
    </row>
    <row r="834" spans="1:15" x14ac:dyDescent="0.35">
      <c r="A834">
        <v>833</v>
      </c>
      <c r="B834" t="s">
        <v>26</v>
      </c>
      <c r="C834" t="s">
        <v>19</v>
      </c>
      <c r="D834" s="1">
        <v>45512</v>
      </c>
      <c r="E834" t="s">
        <v>27</v>
      </c>
      <c r="F834">
        <v>12</v>
      </c>
      <c r="G834">
        <v>234</v>
      </c>
      <c r="H834">
        <v>5</v>
      </c>
      <c r="I834">
        <v>1742</v>
      </c>
      <c r="J834">
        <v>619</v>
      </c>
      <c r="K834">
        <v>222</v>
      </c>
      <c r="L834">
        <v>290</v>
      </c>
      <c r="M834">
        <v>1.64925373134328</v>
      </c>
      <c r="N834" t="s">
        <v>21</v>
      </c>
      <c r="O834">
        <v>0</v>
      </c>
    </row>
    <row r="835" spans="1:15" x14ac:dyDescent="0.35">
      <c r="A835">
        <v>834</v>
      </c>
      <c r="B835" t="s">
        <v>15</v>
      </c>
      <c r="C835" t="s">
        <v>19</v>
      </c>
      <c r="D835" s="1">
        <v>45501</v>
      </c>
      <c r="E835" t="s">
        <v>20</v>
      </c>
      <c r="F835">
        <v>20</v>
      </c>
      <c r="G835">
        <v>147</v>
      </c>
      <c r="H835">
        <v>11</v>
      </c>
      <c r="I835">
        <v>1245</v>
      </c>
      <c r="J835">
        <v>34</v>
      </c>
      <c r="K835">
        <v>299</v>
      </c>
      <c r="L835">
        <v>269</v>
      </c>
      <c r="M835">
        <v>1.48353413654618</v>
      </c>
      <c r="N835" t="s">
        <v>23</v>
      </c>
      <c r="O835">
        <v>0</v>
      </c>
    </row>
    <row r="836" spans="1:15" x14ac:dyDescent="0.35">
      <c r="A836">
        <v>835</v>
      </c>
      <c r="B836" t="s">
        <v>15</v>
      </c>
      <c r="C836" t="s">
        <v>24</v>
      </c>
      <c r="D836" s="1">
        <v>45590</v>
      </c>
      <c r="E836" t="s">
        <v>30</v>
      </c>
      <c r="F836">
        <v>18</v>
      </c>
      <c r="G836">
        <v>128</v>
      </c>
      <c r="H836">
        <v>12</v>
      </c>
      <c r="I836">
        <v>3803</v>
      </c>
      <c r="J836">
        <v>92</v>
      </c>
      <c r="K836">
        <v>12</v>
      </c>
      <c r="L836">
        <v>481</v>
      </c>
      <c r="M836">
        <v>1.1538259268998099</v>
      </c>
      <c r="N836" t="s">
        <v>23</v>
      </c>
      <c r="O836">
        <v>0</v>
      </c>
    </row>
    <row r="837" spans="1:15" x14ac:dyDescent="0.35">
      <c r="A837">
        <v>836</v>
      </c>
      <c r="B837" t="s">
        <v>26</v>
      </c>
      <c r="C837" t="s">
        <v>16</v>
      </c>
      <c r="D837" s="1">
        <v>45508</v>
      </c>
      <c r="E837" t="s">
        <v>20</v>
      </c>
      <c r="F837">
        <v>7</v>
      </c>
      <c r="G837">
        <v>190</v>
      </c>
      <c r="H837">
        <v>7</v>
      </c>
      <c r="I837">
        <v>4942</v>
      </c>
      <c r="J837">
        <v>267</v>
      </c>
      <c r="K837">
        <v>76</v>
      </c>
      <c r="L837">
        <v>98</v>
      </c>
      <c r="M837">
        <v>1.08923512747875</v>
      </c>
      <c r="N837" t="s">
        <v>23</v>
      </c>
      <c r="O837">
        <v>0</v>
      </c>
    </row>
    <row r="838" spans="1:15" x14ac:dyDescent="0.35">
      <c r="A838">
        <v>837</v>
      </c>
      <c r="B838" t="s">
        <v>22</v>
      </c>
      <c r="C838" t="s">
        <v>19</v>
      </c>
      <c r="D838" s="1">
        <v>45533</v>
      </c>
      <c r="E838" t="s">
        <v>27</v>
      </c>
      <c r="F838">
        <v>18</v>
      </c>
      <c r="G838">
        <v>174</v>
      </c>
      <c r="H838">
        <v>12</v>
      </c>
      <c r="I838">
        <v>2952</v>
      </c>
      <c r="J838">
        <v>625</v>
      </c>
      <c r="K838">
        <v>48</v>
      </c>
      <c r="L838">
        <v>6</v>
      </c>
      <c r="M838">
        <v>1.2300135501355001</v>
      </c>
      <c r="N838" t="s">
        <v>23</v>
      </c>
      <c r="O838">
        <v>0</v>
      </c>
    </row>
    <row r="839" spans="1:15" x14ac:dyDescent="0.35">
      <c r="A839">
        <v>838</v>
      </c>
      <c r="B839" t="s">
        <v>15</v>
      </c>
      <c r="C839" t="s">
        <v>24</v>
      </c>
      <c r="D839" s="1">
        <v>45481</v>
      </c>
      <c r="E839" t="s">
        <v>29</v>
      </c>
      <c r="F839">
        <v>11</v>
      </c>
      <c r="G839">
        <v>277</v>
      </c>
      <c r="H839">
        <v>15</v>
      </c>
      <c r="I839">
        <v>1133</v>
      </c>
      <c r="J839">
        <v>577</v>
      </c>
      <c r="K839">
        <v>44</v>
      </c>
      <c r="L839">
        <v>595</v>
      </c>
      <c r="M839">
        <v>2.0732568402471299</v>
      </c>
      <c r="N839" t="s">
        <v>21</v>
      </c>
      <c r="O839">
        <v>0</v>
      </c>
    </row>
    <row r="840" spans="1:15" x14ac:dyDescent="0.35">
      <c r="A840">
        <v>839</v>
      </c>
      <c r="B840" t="s">
        <v>26</v>
      </c>
      <c r="C840" t="s">
        <v>19</v>
      </c>
      <c r="D840" s="1">
        <v>45465</v>
      </c>
      <c r="E840" t="s">
        <v>28</v>
      </c>
      <c r="F840">
        <v>19</v>
      </c>
      <c r="G840">
        <v>92</v>
      </c>
      <c r="H840">
        <v>8</v>
      </c>
      <c r="I840">
        <v>3884</v>
      </c>
      <c r="J840">
        <v>140</v>
      </c>
      <c r="K840">
        <v>93</v>
      </c>
      <c r="L840">
        <v>325</v>
      </c>
      <c r="M840">
        <v>1.14366632337796</v>
      </c>
      <c r="N840" t="s">
        <v>23</v>
      </c>
      <c r="O840">
        <v>0</v>
      </c>
    </row>
    <row r="841" spans="1:15" x14ac:dyDescent="0.35">
      <c r="A841">
        <v>840</v>
      </c>
      <c r="B841" t="s">
        <v>22</v>
      </c>
      <c r="C841" t="s">
        <v>19</v>
      </c>
      <c r="D841" s="1">
        <v>45351</v>
      </c>
      <c r="E841" t="s">
        <v>27</v>
      </c>
      <c r="F841">
        <v>17</v>
      </c>
      <c r="G841">
        <v>240</v>
      </c>
      <c r="H841">
        <v>9</v>
      </c>
      <c r="I841">
        <v>2616</v>
      </c>
      <c r="J841">
        <v>50</v>
      </c>
      <c r="K841">
        <v>132</v>
      </c>
      <c r="L841">
        <v>512</v>
      </c>
      <c r="M841">
        <v>1.2652905198776701</v>
      </c>
      <c r="N841" t="s">
        <v>23</v>
      </c>
      <c r="O841">
        <v>0</v>
      </c>
    </row>
    <row r="842" spans="1:15" x14ac:dyDescent="0.35">
      <c r="A842">
        <v>841</v>
      </c>
      <c r="B842" t="s">
        <v>15</v>
      </c>
      <c r="C842" t="s">
        <v>24</v>
      </c>
      <c r="D842" s="1">
        <v>45426</v>
      </c>
      <c r="E842" t="s">
        <v>17</v>
      </c>
      <c r="F842">
        <v>21</v>
      </c>
      <c r="G842">
        <v>97</v>
      </c>
      <c r="H842">
        <v>17</v>
      </c>
      <c r="I842">
        <v>2210</v>
      </c>
      <c r="J842">
        <v>534</v>
      </c>
      <c r="K842">
        <v>322</v>
      </c>
      <c r="L842">
        <v>447</v>
      </c>
      <c r="M842">
        <v>1.58959276018099</v>
      </c>
      <c r="N842" t="s">
        <v>23</v>
      </c>
      <c r="O842">
        <v>0</v>
      </c>
    </row>
    <row r="843" spans="1:15" x14ac:dyDescent="0.35">
      <c r="A843">
        <v>842</v>
      </c>
      <c r="B843" t="s">
        <v>15</v>
      </c>
      <c r="C843" t="s">
        <v>16</v>
      </c>
      <c r="D843" s="1">
        <v>45517</v>
      </c>
      <c r="E843" t="s">
        <v>17</v>
      </c>
      <c r="F843">
        <v>7</v>
      </c>
      <c r="G843">
        <v>260</v>
      </c>
      <c r="H843">
        <v>8</v>
      </c>
      <c r="I843">
        <v>485</v>
      </c>
      <c r="J843">
        <v>198</v>
      </c>
      <c r="K843">
        <v>154</v>
      </c>
      <c r="L843">
        <v>56</v>
      </c>
      <c r="M843">
        <v>1.84123711340206</v>
      </c>
      <c r="N843" t="s">
        <v>21</v>
      </c>
      <c r="O843">
        <v>0</v>
      </c>
    </row>
    <row r="844" spans="1:15" x14ac:dyDescent="0.35">
      <c r="A844">
        <v>843</v>
      </c>
      <c r="B844" t="s">
        <v>15</v>
      </c>
      <c r="C844" t="s">
        <v>24</v>
      </c>
      <c r="D844" s="1">
        <v>45375</v>
      </c>
      <c r="E844" t="s">
        <v>20</v>
      </c>
      <c r="F844">
        <v>17</v>
      </c>
      <c r="G844">
        <v>268</v>
      </c>
      <c r="H844">
        <v>14</v>
      </c>
      <c r="I844">
        <v>3876</v>
      </c>
      <c r="J844">
        <v>451</v>
      </c>
      <c r="K844">
        <v>120</v>
      </c>
      <c r="L844">
        <v>507</v>
      </c>
      <c r="M844">
        <v>1.2781217750257901</v>
      </c>
      <c r="N844" t="s">
        <v>23</v>
      </c>
      <c r="O844">
        <v>0</v>
      </c>
    </row>
    <row r="845" spans="1:15" x14ac:dyDescent="0.35">
      <c r="A845">
        <v>844</v>
      </c>
      <c r="B845" t="s">
        <v>22</v>
      </c>
      <c r="C845" t="s">
        <v>16</v>
      </c>
      <c r="D845" s="1">
        <v>45544</v>
      </c>
      <c r="E845" t="s">
        <v>29</v>
      </c>
      <c r="F845">
        <v>12</v>
      </c>
      <c r="G845">
        <v>165</v>
      </c>
      <c r="H845">
        <v>5</v>
      </c>
      <c r="I845">
        <v>971</v>
      </c>
      <c r="J845">
        <v>742</v>
      </c>
      <c r="K845">
        <v>153</v>
      </c>
      <c r="L845">
        <v>127</v>
      </c>
      <c r="M845">
        <v>2.05252317198764</v>
      </c>
      <c r="N845" t="s">
        <v>21</v>
      </c>
      <c r="O845">
        <v>0</v>
      </c>
    </row>
    <row r="846" spans="1:15" x14ac:dyDescent="0.35">
      <c r="A846">
        <v>845</v>
      </c>
      <c r="B846" t="s">
        <v>26</v>
      </c>
      <c r="C846" t="s">
        <v>16</v>
      </c>
      <c r="D846" s="1">
        <v>45378</v>
      </c>
      <c r="E846" t="s">
        <v>25</v>
      </c>
      <c r="F846">
        <v>6</v>
      </c>
      <c r="G846">
        <v>289</v>
      </c>
      <c r="H846">
        <v>18</v>
      </c>
      <c r="I846">
        <v>4217</v>
      </c>
      <c r="J846">
        <v>284</v>
      </c>
      <c r="K846">
        <v>578</v>
      </c>
      <c r="L846">
        <v>680</v>
      </c>
      <c r="M846">
        <v>1.36566279345506</v>
      </c>
      <c r="N846" t="s">
        <v>23</v>
      </c>
      <c r="O846">
        <v>0</v>
      </c>
    </row>
    <row r="847" spans="1:15" x14ac:dyDescent="0.35">
      <c r="A847">
        <v>846</v>
      </c>
      <c r="B847" t="s">
        <v>26</v>
      </c>
      <c r="C847" t="s">
        <v>16</v>
      </c>
      <c r="D847" s="1">
        <v>45384</v>
      </c>
      <c r="E847" t="s">
        <v>17</v>
      </c>
      <c r="F847">
        <v>16</v>
      </c>
      <c r="G847">
        <v>33</v>
      </c>
      <c r="H847">
        <v>9</v>
      </c>
      <c r="I847">
        <v>3461</v>
      </c>
      <c r="J847">
        <v>83</v>
      </c>
      <c r="K847">
        <v>254</v>
      </c>
      <c r="L847">
        <v>511</v>
      </c>
      <c r="M847">
        <v>1.24501589136087</v>
      </c>
      <c r="N847" t="s">
        <v>23</v>
      </c>
      <c r="O847">
        <v>0</v>
      </c>
    </row>
    <row r="848" spans="1:15" x14ac:dyDescent="0.35">
      <c r="A848">
        <v>847</v>
      </c>
      <c r="B848" t="s">
        <v>15</v>
      </c>
      <c r="C848" t="s">
        <v>16</v>
      </c>
      <c r="D848" s="1">
        <v>45354</v>
      </c>
      <c r="E848" t="s">
        <v>20</v>
      </c>
      <c r="F848">
        <v>8</v>
      </c>
      <c r="G848">
        <v>255</v>
      </c>
      <c r="H848">
        <v>15</v>
      </c>
      <c r="I848">
        <v>3279</v>
      </c>
      <c r="J848">
        <v>387</v>
      </c>
      <c r="K848">
        <v>110</v>
      </c>
      <c r="L848">
        <v>332</v>
      </c>
      <c r="M848">
        <v>1.2528209820067</v>
      </c>
      <c r="N848" t="s">
        <v>23</v>
      </c>
      <c r="O848">
        <v>0</v>
      </c>
    </row>
    <row r="849" spans="1:15" x14ac:dyDescent="0.35">
      <c r="A849">
        <v>848</v>
      </c>
      <c r="B849" t="s">
        <v>15</v>
      </c>
      <c r="C849" t="s">
        <v>19</v>
      </c>
      <c r="D849" s="1">
        <v>45524</v>
      </c>
      <c r="E849" t="s">
        <v>17</v>
      </c>
      <c r="F849">
        <v>20</v>
      </c>
      <c r="G849">
        <v>186</v>
      </c>
      <c r="H849">
        <v>18</v>
      </c>
      <c r="I849">
        <v>2256</v>
      </c>
      <c r="J849">
        <v>613</v>
      </c>
      <c r="K849">
        <v>7</v>
      </c>
      <c r="L849">
        <v>338</v>
      </c>
      <c r="M849">
        <v>1.4246453900709199</v>
      </c>
      <c r="N849" t="s">
        <v>23</v>
      </c>
      <c r="O849">
        <v>0</v>
      </c>
    </row>
    <row r="850" spans="1:15" x14ac:dyDescent="0.35">
      <c r="A850">
        <v>849</v>
      </c>
      <c r="B850" t="s">
        <v>15</v>
      </c>
      <c r="C850" t="s">
        <v>19</v>
      </c>
      <c r="D850" s="1">
        <v>45358</v>
      </c>
      <c r="E850" t="s">
        <v>27</v>
      </c>
      <c r="F850">
        <v>8</v>
      </c>
      <c r="G850">
        <v>300</v>
      </c>
      <c r="H850">
        <v>19</v>
      </c>
      <c r="I850">
        <v>1781</v>
      </c>
      <c r="J850">
        <v>54</v>
      </c>
      <c r="K850">
        <v>291</v>
      </c>
      <c r="L850">
        <v>331</v>
      </c>
      <c r="M850">
        <v>1.37956204379562</v>
      </c>
      <c r="N850" t="s">
        <v>23</v>
      </c>
      <c r="O850">
        <v>0</v>
      </c>
    </row>
    <row r="851" spans="1:15" x14ac:dyDescent="0.35">
      <c r="A851">
        <v>850</v>
      </c>
      <c r="B851" t="s">
        <v>15</v>
      </c>
      <c r="C851" t="s">
        <v>24</v>
      </c>
      <c r="D851" s="1">
        <v>45487</v>
      </c>
      <c r="E851" t="s">
        <v>20</v>
      </c>
      <c r="F851">
        <v>8</v>
      </c>
      <c r="G851">
        <v>30</v>
      </c>
      <c r="H851">
        <v>6</v>
      </c>
      <c r="I851">
        <v>808</v>
      </c>
      <c r="J851">
        <v>413</v>
      </c>
      <c r="K851">
        <v>263</v>
      </c>
      <c r="L851">
        <v>183</v>
      </c>
      <c r="M851">
        <v>2.0631188118811798</v>
      </c>
      <c r="N851" t="s">
        <v>21</v>
      </c>
      <c r="O851">
        <v>0</v>
      </c>
    </row>
    <row r="852" spans="1:15" x14ac:dyDescent="0.35">
      <c r="A852">
        <v>851</v>
      </c>
      <c r="B852" t="s">
        <v>26</v>
      </c>
      <c r="C852" t="s">
        <v>16</v>
      </c>
      <c r="D852" s="1">
        <v>45375</v>
      </c>
      <c r="E852" t="s">
        <v>20</v>
      </c>
      <c r="F852">
        <v>9</v>
      </c>
      <c r="G852">
        <v>172</v>
      </c>
      <c r="H852">
        <v>15</v>
      </c>
      <c r="I852">
        <v>3232</v>
      </c>
      <c r="J852">
        <v>417</v>
      </c>
      <c r="K852">
        <v>293</v>
      </c>
      <c r="L852">
        <v>663</v>
      </c>
      <c r="M852">
        <v>1.4248143564356399</v>
      </c>
      <c r="N852" t="s">
        <v>23</v>
      </c>
      <c r="O852">
        <v>0</v>
      </c>
    </row>
    <row r="853" spans="1:15" x14ac:dyDescent="0.35">
      <c r="A853">
        <v>852</v>
      </c>
      <c r="B853" t="s">
        <v>26</v>
      </c>
      <c r="C853" t="s">
        <v>16</v>
      </c>
      <c r="D853" s="1">
        <v>45513</v>
      </c>
      <c r="E853" t="s">
        <v>30</v>
      </c>
      <c r="F853">
        <v>17</v>
      </c>
      <c r="G853">
        <v>282</v>
      </c>
      <c r="H853">
        <v>6</v>
      </c>
      <c r="I853">
        <v>2590</v>
      </c>
      <c r="J853">
        <v>706</v>
      </c>
      <c r="K853">
        <v>136</v>
      </c>
      <c r="L853">
        <v>368</v>
      </c>
      <c r="M853">
        <v>1.46718146718146</v>
      </c>
      <c r="N853" t="s">
        <v>23</v>
      </c>
      <c r="O853">
        <v>0</v>
      </c>
    </row>
    <row r="854" spans="1:15" x14ac:dyDescent="0.35">
      <c r="A854">
        <v>853</v>
      </c>
      <c r="B854" t="s">
        <v>26</v>
      </c>
      <c r="C854" t="s">
        <v>19</v>
      </c>
      <c r="D854" s="1">
        <v>45542</v>
      </c>
      <c r="E854" t="s">
        <v>28</v>
      </c>
      <c r="F854">
        <v>19</v>
      </c>
      <c r="G854">
        <v>66</v>
      </c>
      <c r="H854">
        <v>13</v>
      </c>
      <c r="I854">
        <v>3699</v>
      </c>
      <c r="J854">
        <v>402</v>
      </c>
      <c r="K854">
        <v>489</v>
      </c>
      <c r="L854">
        <v>275</v>
      </c>
      <c r="M854">
        <v>1.31522032981887</v>
      </c>
      <c r="N854" t="s">
        <v>23</v>
      </c>
      <c r="O854">
        <v>0</v>
      </c>
    </row>
    <row r="855" spans="1:15" x14ac:dyDescent="0.35">
      <c r="A855">
        <v>854</v>
      </c>
      <c r="B855" t="s">
        <v>15</v>
      </c>
      <c r="C855" t="s">
        <v>19</v>
      </c>
      <c r="D855" s="1">
        <v>45480</v>
      </c>
      <c r="E855" t="s">
        <v>20</v>
      </c>
      <c r="F855">
        <v>16</v>
      </c>
      <c r="G855">
        <v>257</v>
      </c>
      <c r="H855">
        <v>7</v>
      </c>
      <c r="I855">
        <v>1576</v>
      </c>
      <c r="J855">
        <v>449</v>
      </c>
      <c r="K855">
        <v>438</v>
      </c>
      <c r="L855">
        <v>96</v>
      </c>
      <c r="M855">
        <v>1.6237309644669999</v>
      </c>
      <c r="N855" t="s">
        <v>21</v>
      </c>
      <c r="O855">
        <v>0</v>
      </c>
    </row>
    <row r="856" spans="1:15" x14ac:dyDescent="0.35">
      <c r="A856">
        <v>855</v>
      </c>
      <c r="B856" t="s">
        <v>22</v>
      </c>
      <c r="C856" t="s">
        <v>24</v>
      </c>
      <c r="D856" s="1">
        <v>45371</v>
      </c>
      <c r="E856" t="s">
        <v>25</v>
      </c>
      <c r="F856">
        <v>19</v>
      </c>
      <c r="G856">
        <v>60</v>
      </c>
      <c r="H856">
        <v>15</v>
      </c>
      <c r="I856">
        <v>4107</v>
      </c>
      <c r="J856">
        <v>544</v>
      </c>
      <c r="K856">
        <v>539</v>
      </c>
      <c r="L856">
        <v>86</v>
      </c>
      <c r="M856">
        <v>1.2846359873386901</v>
      </c>
      <c r="N856" t="s">
        <v>23</v>
      </c>
      <c r="O856">
        <v>0</v>
      </c>
    </row>
    <row r="857" spans="1:15" x14ac:dyDescent="0.35">
      <c r="A857">
        <v>856</v>
      </c>
      <c r="B857" t="s">
        <v>26</v>
      </c>
      <c r="C857" t="s">
        <v>24</v>
      </c>
      <c r="D857" s="1">
        <v>45445</v>
      </c>
      <c r="E857" t="s">
        <v>20</v>
      </c>
      <c r="F857">
        <v>15</v>
      </c>
      <c r="G857">
        <v>44</v>
      </c>
      <c r="H857">
        <v>17</v>
      </c>
      <c r="I857">
        <v>1267</v>
      </c>
      <c r="J857">
        <v>135</v>
      </c>
      <c r="K857">
        <v>309</v>
      </c>
      <c r="L857">
        <v>255</v>
      </c>
      <c r="M857">
        <v>1.55169692186266</v>
      </c>
      <c r="N857" t="s">
        <v>23</v>
      </c>
      <c r="O857">
        <v>0</v>
      </c>
    </row>
    <row r="858" spans="1:15" x14ac:dyDescent="0.35">
      <c r="A858">
        <v>857</v>
      </c>
      <c r="B858" t="s">
        <v>22</v>
      </c>
      <c r="C858" t="s">
        <v>24</v>
      </c>
      <c r="D858" s="1">
        <v>45331</v>
      </c>
      <c r="E858" t="s">
        <v>30</v>
      </c>
      <c r="F858">
        <v>9</v>
      </c>
      <c r="G858">
        <v>257</v>
      </c>
      <c r="H858">
        <v>18</v>
      </c>
      <c r="I858">
        <v>419</v>
      </c>
      <c r="J858">
        <v>530</v>
      </c>
      <c r="K858">
        <v>112</v>
      </c>
      <c r="L858">
        <v>523</v>
      </c>
      <c r="M858">
        <v>3.78042959427207</v>
      </c>
      <c r="N858" t="s">
        <v>18</v>
      </c>
      <c r="O858">
        <v>0</v>
      </c>
    </row>
    <row r="859" spans="1:15" x14ac:dyDescent="0.35">
      <c r="A859">
        <v>858</v>
      </c>
      <c r="B859" t="s">
        <v>15</v>
      </c>
      <c r="C859" t="s">
        <v>16</v>
      </c>
      <c r="D859" s="1">
        <v>45421</v>
      </c>
      <c r="E859" t="s">
        <v>27</v>
      </c>
      <c r="F859">
        <v>20</v>
      </c>
      <c r="G859">
        <v>111</v>
      </c>
      <c r="H859">
        <v>5</v>
      </c>
      <c r="I859">
        <v>2961</v>
      </c>
      <c r="J859">
        <v>265</v>
      </c>
      <c r="K859">
        <v>85</v>
      </c>
      <c r="L859">
        <v>516</v>
      </c>
      <c r="M859">
        <v>1.2924687605538601</v>
      </c>
      <c r="N859" t="s">
        <v>23</v>
      </c>
      <c r="O859">
        <v>0</v>
      </c>
    </row>
    <row r="860" spans="1:15" x14ac:dyDescent="0.35">
      <c r="A860">
        <v>859</v>
      </c>
      <c r="B860" t="s">
        <v>22</v>
      </c>
      <c r="C860" t="s">
        <v>19</v>
      </c>
      <c r="D860" s="1">
        <v>45493</v>
      </c>
      <c r="E860" t="s">
        <v>28</v>
      </c>
      <c r="F860">
        <v>20</v>
      </c>
      <c r="G860">
        <v>250</v>
      </c>
      <c r="H860">
        <v>19</v>
      </c>
      <c r="I860">
        <v>420</v>
      </c>
      <c r="J860">
        <v>90</v>
      </c>
      <c r="K860">
        <v>428</v>
      </c>
      <c r="L860">
        <v>305</v>
      </c>
      <c r="M860">
        <v>2.9595238095237999</v>
      </c>
      <c r="N860" t="s">
        <v>18</v>
      </c>
      <c r="O860">
        <v>0</v>
      </c>
    </row>
    <row r="861" spans="1:15" x14ac:dyDescent="0.35">
      <c r="A861">
        <v>860</v>
      </c>
      <c r="B861" t="s">
        <v>15</v>
      </c>
      <c r="C861" t="s">
        <v>19</v>
      </c>
      <c r="D861" s="1">
        <v>45427</v>
      </c>
      <c r="E861" t="s">
        <v>25</v>
      </c>
      <c r="F861">
        <v>14</v>
      </c>
      <c r="G861">
        <v>74</v>
      </c>
      <c r="H861">
        <v>13</v>
      </c>
      <c r="I861">
        <v>2846</v>
      </c>
      <c r="J861">
        <v>196</v>
      </c>
      <c r="K861">
        <v>218</v>
      </c>
      <c r="L861">
        <v>190</v>
      </c>
      <c r="M861">
        <v>1.21222768798313</v>
      </c>
      <c r="N861" t="s">
        <v>23</v>
      </c>
      <c r="O861">
        <v>0</v>
      </c>
    </row>
    <row r="862" spans="1:15" x14ac:dyDescent="0.35">
      <c r="A862">
        <v>861</v>
      </c>
      <c r="B862" t="s">
        <v>15</v>
      </c>
      <c r="C862" t="s">
        <v>16</v>
      </c>
      <c r="D862" s="1">
        <v>45565</v>
      </c>
      <c r="E862" t="s">
        <v>29</v>
      </c>
      <c r="F862">
        <v>21</v>
      </c>
      <c r="G862">
        <v>255</v>
      </c>
      <c r="H862">
        <v>12</v>
      </c>
      <c r="I862">
        <v>196</v>
      </c>
      <c r="J862">
        <v>10</v>
      </c>
      <c r="K862">
        <v>406</v>
      </c>
      <c r="L862">
        <v>120</v>
      </c>
      <c r="M862">
        <v>3.7346938775510199</v>
      </c>
      <c r="N862" t="s">
        <v>18</v>
      </c>
      <c r="O862">
        <v>0</v>
      </c>
    </row>
    <row r="863" spans="1:15" x14ac:dyDescent="0.35">
      <c r="A863">
        <v>862</v>
      </c>
      <c r="B863" t="s">
        <v>26</v>
      </c>
      <c r="C863" t="s">
        <v>19</v>
      </c>
      <c r="D863" s="1">
        <v>45541</v>
      </c>
      <c r="E863" t="s">
        <v>30</v>
      </c>
      <c r="F863">
        <v>18</v>
      </c>
      <c r="G863">
        <v>174</v>
      </c>
      <c r="H863">
        <v>2</v>
      </c>
      <c r="I863">
        <v>2530</v>
      </c>
      <c r="J863">
        <v>638</v>
      </c>
      <c r="K863">
        <v>371</v>
      </c>
      <c r="L863">
        <v>690</v>
      </c>
      <c r="M863">
        <v>1.67154150197628</v>
      </c>
      <c r="N863" t="s">
        <v>21</v>
      </c>
      <c r="O863">
        <v>0</v>
      </c>
    </row>
    <row r="864" spans="1:15" x14ac:dyDescent="0.35">
      <c r="A864">
        <v>863</v>
      </c>
      <c r="B864" t="s">
        <v>15</v>
      </c>
      <c r="C864" t="s">
        <v>19</v>
      </c>
      <c r="D864" s="1">
        <v>45356</v>
      </c>
      <c r="E864" t="s">
        <v>17</v>
      </c>
      <c r="F864">
        <v>12</v>
      </c>
      <c r="G864">
        <v>33</v>
      </c>
      <c r="H864">
        <v>6</v>
      </c>
      <c r="I864">
        <v>1156</v>
      </c>
      <c r="J864">
        <v>19</v>
      </c>
      <c r="K864">
        <v>197</v>
      </c>
      <c r="L864">
        <v>115</v>
      </c>
      <c r="M864">
        <v>1.2863321799307901</v>
      </c>
      <c r="N864" t="s">
        <v>23</v>
      </c>
      <c r="O864">
        <v>0</v>
      </c>
    </row>
    <row r="865" spans="1:15" x14ac:dyDescent="0.35">
      <c r="A865">
        <v>864</v>
      </c>
      <c r="B865" t="s">
        <v>26</v>
      </c>
      <c r="C865" t="s">
        <v>19</v>
      </c>
      <c r="D865" s="1">
        <v>45538</v>
      </c>
      <c r="E865" t="s">
        <v>17</v>
      </c>
      <c r="F865">
        <v>12</v>
      </c>
      <c r="G865">
        <v>64</v>
      </c>
      <c r="H865">
        <v>9</v>
      </c>
      <c r="I865">
        <v>1239</v>
      </c>
      <c r="J865">
        <v>670</v>
      </c>
      <c r="K865">
        <v>249</v>
      </c>
      <c r="L865">
        <v>447</v>
      </c>
      <c r="M865">
        <v>2.1025020177562501</v>
      </c>
      <c r="N865" t="s">
        <v>21</v>
      </c>
      <c r="O865">
        <v>0</v>
      </c>
    </row>
    <row r="866" spans="1:15" x14ac:dyDescent="0.35">
      <c r="A866">
        <v>865</v>
      </c>
      <c r="B866" t="s">
        <v>15</v>
      </c>
      <c r="C866" t="s">
        <v>16</v>
      </c>
      <c r="D866" s="1">
        <v>45529</v>
      </c>
      <c r="E866" t="s">
        <v>20</v>
      </c>
      <c r="F866">
        <v>10</v>
      </c>
      <c r="G866">
        <v>247</v>
      </c>
      <c r="H866">
        <v>15</v>
      </c>
      <c r="I866">
        <v>1263</v>
      </c>
      <c r="J866">
        <v>490</v>
      </c>
      <c r="K866">
        <v>434</v>
      </c>
      <c r="L866">
        <v>23</v>
      </c>
      <c r="M866">
        <v>1.74980205859065</v>
      </c>
      <c r="N866" t="s">
        <v>21</v>
      </c>
      <c r="O866">
        <v>0</v>
      </c>
    </row>
    <row r="867" spans="1:15" x14ac:dyDescent="0.35">
      <c r="A867">
        <v>866</v>
      </c>
      <c r="B867" t="s">
        <v>22</v>
      </c>
      <c r="C867" t="s">
        <v>19</v>
      </c>
      <c r="D867" s="1">
        <v>45533</v>
      </c>
      <c r="E867" t="s">
        <v>27</v>
      </c>
      <c r="F867">
        <v>18</v>
      </c>
      <c r="G867">
        <v>46</v>
      </c>
      <c r="H867">
        <v>10</v>
      </c>
      <c r="I867">
        <v>210</v>
      </c>
      <c r="J867">
        <v>465</v>
      </c>
      <c r="K867">
        <v>250</v>
      </c>
      <c r="L867">
        <v>207</v>
      </c>
      <c r="M867">
        <v>5.39047619047619</v>
      </c>
      <c r="N867" t="s">
        <v>18</v>
      </c>
      <c r="O867">
        <v>0</v>
      </c>
    </row>
    <row r="868" spans="1:15" x14ac:dyDescent="0.35">
      <c r="A868">
        <v>867</v>
      </c>
      <c r="B868" t="s">
        <v>22</v>
      </c>
      <c r="C868" t="s">
        <v>19</v>
      </c>
      <c r="D868" s="1">
        <v>45296</v>
      </c>
      <c r="E868" t="s">
        <v>30</v>
      </c>
      <c r="F868">
        <v>23</v>
      </c>
      <c r="G868">
        <v>168</v>
      </c>
      <c r="H868">
        <v>1</v>
      </c>
      <c r="I868">
        <v>891</v>
      </c>
      <c r="J868">
        <v>650</v>
      </c>
      <c r="K868">
        <v>444</v>
      </c>
      <c r="L868">
        <v>426</v>
      </c>
      <c r="M868">
        <v>2.7059483726150302</v>
      </c>
      <c r="N868" t="s">
        <v>18</v>
      </c>
      <c r="O868">
        <v>0</v>
      </c>
    </row>
    <row r="869" spans="1:15" x14ac:dyDescent="0.35">
      <c r="A869">
        <v>868</v>
      </c>
      <c r="B869" t="s">
        <v>26</v>
      </c>
      <c r="C869" t="s">
        <v>19</v>
      </c>
      <c r="D869" s="1">
        <v>45541</v>
      </c>
      <c r="E869" t="s">
        <v>30</v>
      </c>
      <c r="F869">
        <v>21</v>
      </c>
      <c r="G869">
        <v>138</v>
      </c>
      <c r="H869">
        <v>1</v>
      </c>
      <c r="I869">
        <v>3324</v>
      </c>
      <c r="J869">
        <v>502</v>
      </c>
      <c r="K869">
        <v>527</v>
      </c>
      <c r="L869">
        <v>606</v>
      </c>
      <c r="M869">
        <v>1.4918772563176801</v>
      </c>
      <c r="N869" t="s">
        <v>23</v>
      </c>
      <c r="O869">
        <v>0</v>
      </c>
    </row>
    <row r="870" spans="1:15" x14ac:dyDescent="0.35">
      <c r="A870">
        <v>869</v>
      </c>
      <c r="B870" t="s">
        <v>26</v>
      </c>
      <c r="C870" t="s">
        <v>16</v>
      </c>
      <c r="D870" s="1">
        <v>45562</v>
      </c>
      <c r="E870" t="s">
        <v>30</v>
      </c>
      <c r="F870">
        <v>14</v>
      </c>
      <c r="G870">
        <v>233</v>
      </c>
      <c r="H870">
        <v>15</v>
      </c>
      <c r="I870">
        <v>205</v>
      </c>
      <c r="J870">
        <v>437</v>
      </c>
      <c r="K870">
        <v>592</v>
      </c>
      <c r="L870">
        <v>324</v>
      </c>
      <c r="M870">
        <v>7.6</v>
      </c>
      <c r="N870" t="s">
        <v>18</v>
      </c>
      <c r="O870">
        <v>1</v>
      </c>
    </row>
    <row r="871" spans="1:15" x14ac:dyDescent="0.35">
      <c r="A871">
        <v>870</v>
      </c>
      <c r="B871" t="s">
        <v>26</v>
      </c>
      <c r="C871" t="s">
        <v>24</v>
      </c>
      <c r="D871" s="1">
        <v>45351</v>
      </c>
      <c r="E871" t="s">
        <v>27</v>
      </c>
      <c r="F871">
        <v>6</v>
      </c>
      <c r="G871">
        <v>102</v>
      </c>
      <c r="H871">
        <v>9</v>
      </c>
      <c r="I871">
        <v>4103</v>
      </c>
      <c r="J871">
        <v>642</v>
      </c>
      <c r="K871">
        <v>357</v>
      </c>
      <c r="L871">
        <v>460</v>
      </c>
      <c r="M871">
        <v>1.3555934681940001</v>
      </c>
      <c r="N871" t="s">
        <v>23</v>
      </c>
      <c r="O871">
        <v>0</v>
      </c>
    </row>
    <row r="872" spans="1:15" x14ac:dyDescent="0.35">
      <c r="A872">
        <v>871</v>
      </c>
      <c r="B872" t="s">
        <v>26</v>
      </c>
      <c r="C872" t="s">
        <v>16</v>
      </c>
      <c r="D872" s="1">
        <v>45390</v>
      </c>
      <c r="E872" t="s">
        <v>29</v>
      </c>
      <c r="F872">
        <v>16</v>
      </c>
      <c r="G872">
        <v>259</v>
      </c>
      <c r="H872">
        <v>4</v>
      </c>
      <c r="I872">
        <v>3894</v>
      </c>
      <c r="J872">
        <v>357</v>
      </c>
      <c r="K872">
        <v>450</v>
      </c>
      <c r="L872">
        <v>238</v>
      </c>
      <c r="M872">
        <v>1.2683615819209</v>
      </c>
      <c r="N872" t="s">
        <v>23</v>
      </c>
      <c r="O872">
        <v>0</v>
      </c>
    </row>
    <row r="873" spans="1:15" x14ac:dyDescent="0.35">
      <c r="A873">
        <v>872</v>
      </c>
      <c r="B873" t="s">
        <v>15</v>
      </c>
      <c r="C873" t="s">
        <v>19</v>
      </c>
      <c r="D873" s="1">
        <v>45442</v>
      </c>
      <c r="E873" t="s">
        <v>27</v>
      </c>
      <c r="F873">
        <v>12</v>
      </c>
      <c r="G873">
        <v>164</v>
      </c>
      <c r="H873">
        <v>2</v>
      </c>
      <c r="I873">
        <v>3247</v>
      </c>
      <c r="J873">
        <v>431</v>
      </c>
      <c r="K873">
        <v>370</v>
      </c>
      <c r="L873">
        <v>484</v>
      </c>
      <c r="M873">
        <v>1.3957499230058501</v>
      </c>
      <c r="N873" t="s">
        <v>23</v>
      </c>
      <c r="O873">
        <v>0</v>
      </c>
    </row>
    <row r="874" spans="1:15" x14ac:dyDescent="0.35">
      <c r="A874">
        <v>873</v>
      </c>
      <c r="B874" t="s">
        <v>26</v>
      </c>
      <c r="C874" t="s">
        <v>24</v>
      </c>
      <c r="D874" s="1">
        <v>45539</v>
      </c>
      <c r="E874" t="s">
        <v>25</v>
      </c>
      <c r="F874">
        <v>9</v>
      </c>
      <c r="G874">
        <v>232</v>
      </c>
      <c r="H874">
        <v>15</v>
      </c>
      <c r="I874">
        <v>1107</v>
      </c>
      <c r="J874">
        <v>182</v>
      </c>
      <c r="K874">
        <v>206</v>
      </c>
      <c r="L874">
        <v>161</v>
      </c>
      <c r="M874">
        <v>1.4959349593495901</v>
      </c>
      <c r="N874" t="s">
        <v>23</v>
      </c>
      <c r="O874">
        <v>0</v>
      </c>
    </row>
    <row r="875" spans="1:15" x14ac:dyDescent="0.35">
      <c r="A875">
        <v>874</v>
      </c>
      <c r="B875" t="s">
        <v>15</v>
      </c>
      <c r="C875" t="s">
        <v>24</v>
      </c>
      <c r="D875" s="1">
        <v>45447</v>
      </c>
      <c r="E875" t="s">
        <v>17</v>
      </c>
      <c r="F875">
        <v>14</v>
      </c>
      <c r="G875">
        <v>202</v>
      </c>
      <c r="H875">
        <v>5</v>
      </c>
      <c r="I875">
        <v>1972</v>
      </c>
      <c r="J875">
        <v>219</v>
      </c>
      <c r="K875">
        <v>572</v>
      </c>
      <c r="L875">
        <v>49</v>
      </c>
      <c r="M875">
        <v>1.42596348884381</v>
      </c>
      <c r="N875" t="s">
        <v>23</v>
      </c>
      <c r="O875">
        <v>0</v>
      </c>
    </row>
    <row r="876" spans="1:15" x14ac:dyDescent="0.35">
      <c r="A876">
        <v>875</v>
      </c>
      <c r="B876" t="s">
        <v>22</v>
      </c>
      <c r="C876" t="s">
        <v>16</v>
      </c>
      <c r="D876" s="1">
        <v>45381</v>
      </c>
      <c r="E876" t="s">
        <v>28</v>
      </c>
      <c r="F876">
        <v>13</v>
      </c>
      <c r="G876">
        <v>81</v>
      </c>
      <c r="H876">
        <v>17</v>
      </c>
      <c r="I876">
        <v>4174</v>
      </c>
      <c r="J876">
        <v>37</v>
      </c>
      <c r="K876">
        <v>67</v>
      </c>
      <c r="L876">
        <v>346</v>
      </c>
      <c r="M876">
        <v>1.1078102539530399</v>
      </c>
      <c r="N876" t="s">
        <v>23</v>
      </c>
      <c r="O876">
        <v>0</v>
      </c>
    </row>
    <row r="877" spans="1:15" x14ac:dyDescent="0.35">
      <c r="A877">
        <v>876</v>
      </c>
      <c r="B877" t="s">
        <v>15</v>
      </c>
      <c r="C877" t="s">
        <v>19</v>
      </c>
      <c r="D877" s="1">
        <v>45406</v>
      </c>
      <c r="E877" t="s">
        <v>25</v>
      </c>
      <c r="F877">
        <v>14</v>
      </c>
      <c r="G877">
        <v>97</v>
      </c>
      <c r="H877">
        <v>16</v>
      </c>
      <c r="I877">
        <v>4034</v>
      </c>
      <c r="J877">
        <v>269</v>
      </c>
      <c r="K877">
        <v>350</v>
      </c>
      <c r="L877">
        <v>364</v>
      </c>
      <c r="M877">
        <v>1.2436787307882899</v>
      </c>
      <c r="N877" t="s">
        <v>23</v>
      </c>
      <c r="O877">
        <v>0</v>
      </c>
    </row>
    <row r="878" spans="1:15" x14ac:dyDescent="0.35">
      <c r="A878">
        <v>877</v>
      </c>
      <c r="B878" t="s">
        <v>15</v>
      </c>
      <c r="C878" t="s">
        <v>19</v>
      </c>
      <c r="D878" s="1">
        <v>45345</v>
      </c>
      <c r="E878" t="s">
        <v>30</v>
      </c>
      <c r="F878">
        <v>9</v>
      </c>
      <c r="G878">
        <v>41</v>
      </c>
      <c r="H878">
        <v>16</v>
      </c>
      <c r="I878">
        <v>463</v>
      </c>
      <c r="J878">
        <v>453</v>
      </c>
      <c r="K878">
        <v>470</v>
      </c>
      <c r="L878">
        <v>114</v>
      </c>
      <c r="M878">
        <v>3.2397408207343399</v>
      </c>
      <c r="N878" t="s">
        <v>18</v>
      </c>
      <c r="O878">
        <v>0</v>
      </c>
    </row>
    <row r="879" spans="1:15" x14ac:dyDescent="0.35">
      <c r="A879">
        <v>878</v>
      </c>
      <c r="B879" t="s">
        <v>22</v>
      </c>
      <c r="C879" t="s">
        <v>16</v>
      </c>
      <c r="D879" s="1">
        <v>45345</v>
      </c>
      <c r="E879" t="s">
        <v>30</v>
      </c>
      <c r="F879">
        <v>15</v>
      </c>
      <c r="G879">
        <v>246</v>
      </c>
      <c r="H879">
        <v>16</v>
      </c>
      <c r="I879">
        <v>1418</v>
      </c>
      <c r="J879">
        <v>650</v>
      </c>
      <c r="K879">
        <v>122</v>
      </c>
      <c r="L879">
        <v>211</v>
      </c>
      <c r="M879">
        <v>1.6932299012693901</v>
      </c>
      <c r="N879" t="s">
        <v>21</v>
      </c>
      <c r="O879">
        <v>0</v>
      </c>
    </row>
    <row r="880" spans="1:15" x14ac:dyDescent="0.35">
      <c r="A880">
        <v>879</v>
      </c>
      <c r="B880" t="s">
        <v>15</v>
      </c>
      <c r="C880" t="s">
        <v>16</v>
      </c>
      <c r="D880" s="1">
        <v>45547</v>
      </c>
      <c r="E880" t="s">
        <v>27</v>
      </c>
      <c r="F880">
        <v>12</v>
      </c>
      <c r="G880">
        <v>244</v>
      </c>
      <c r="H880">
        <v>13</v>
      </c>
      <c r="I880">
        <v>863</v>
      </c>
      <c r="J880">
        <v>162</v>
      </c>
      <c r="K880">
        <v>374</v>
      </c>
      <c r="L880">
        <v>343</v>
      </c>
      <c r="M880">
        <v>2.0185399768250201</v>
      </c>
      <c r="N880" t="s">
        <v>21</v>
      </c>
      <c r="O880">
        <v>0</v>
      </c>
    </row>
    <row r="881" spans="1:15" x14ac:dyDescent="0.35">
      <c r="A881">
        <v>880</v>
      </c>
      <c r="B881" t="s">
        <v>26</v>
      </c>
      <c r="C881" t="s">
        <v>16</v>
      </c>
      <c r="D881" s="1">
        <v>45295</v>
      </c>
      <c r="E881" t="s">
        <v>27</v>
      </c>
      <c r="F881">
        <v>8</v>
      </c>
      <c r="G881">
        <v>156</v>
      </c>
      <c r="H881">
        <v>11</v>
      </c>
      <c r="I881">
        <v>2059</v>
      </c>
      <c r="J881">
        <v>490</v>
      </c>
      <c r="K881">
        <v>351</v>
      </c>
      <c r="L881">
        <v>294</v>
      </c>
      <c r="M881">
        <v>1.5512384652744</v>
      </c>
      <c r="N881" t="s">
        <v>23</v>
      </c>
      <c r="O881">
        <v>0</v>
      </c>
    </row>
    <row r="882" spans="1:15" x14ac:dyDescent="0.35">
      <c r="A882">
        <v>881</v>
      </c>
      <c r="B882" t="s">
        <v>26</v>
      </c>
      <c r="C882" t="s">
        <v>24</v>
      </c>
      <c r="D882" s="1">
        <v>45504</v>
      </c>
      <c r="E882" t="s">
        <v>25</v>
      </c>
      <c r="F882">
        <v>13</v>
      </c>
      <c r="G882">
        <v>90</v>
      </c>
      <c r="H882">
        <v>13</v>
      </c>
      <c r="I882">
        <v>3004</v>
      </c>
      <c r="J882">
        <v>649</v>
      </c>
      <c r="K882">
        <v>253</v>
      </c>
      <c r="L882">
        <v>156</v>
      </c>
      <c r="M882">
        <v>1.3521970705725701</v>
      </c>
      <c r="N882" t="s">
        <v>23</v>
      </c>
      <c r="O882">
        <v>0</v>
      </c>
    </row>
    <row r="883" spans="1:15" x14ac:dyDescent="0.35">
      <c r="A883">
        <v>882</v>
      </c>
      <c r="B883" t="s">
        <v>22</v>
      </c>
      <c r="C883" t="s">
        <v>16</v>
      </c>
      <c r="D883" s="1">
        <v>45503</v>
      </c>
      <c r="E883" t="s">
        <v>17</v>
      </c>
      <c r="F883">
        <v>20</v>
      </c>
      <c r="G883">
        <v>94</v>
      </c>
      <c r="H883">
        <v>0</v>
      </c>
      <c r="I883">
        <v>3403</v>
      </c>
      <c r="J883">
        <v>474</v>
      </c>
      <c r="K883">
        <v>530</v>
      </c>
      <c r="L883">
        <v>699</v>
      </c>
      <c r="M883">
        <v>1.5004407875404</v>
      </c>
      <c r="N883" t="s">
        <v>23</v>
      </c>
      <c r="O883">
        <v>0</v>
      </c>
    </row>
    <row r="884" spans="1:15" x14ac:dyDescent="0.35">
      <c r="A884">
        <v>883</v>
      </c>
      <c r="B884" t="s">
        <v>22</v>
      </c>
      <c r="C884" t="s">
        <v>16</v>
      </c>
      <c r="D884" s="1">
        <v>45556</v>
      </c>
      <c r="E884" t="s">
        <v>28</v>
      </c>
      <c r="F884">
        <v>19</v>
      </c>
      <c r="G884">
        <v>51</v>
      </c>
      <c r="H884">
        <v>12</v>
      </c>
      <c r="I884">
        <v>620</v>
      </c>
      <c r="J884">
        <v>91</v>
      </c>
      <c r="K884">
        <v>348</v>
      </c>
      <c r="L884">
        <v>323</v>
      </c>
      <c r="M884">
        <v>2.2290322580645099</v>
      </c>
      <c r="N884" t="s">
        <v>21</v>
      </c>
      <c r="O884">
        <v>0</v>
      </c>
    </row>
    <row r="885" spans="1:15" x14ac:dyDescent="0.35">
      <c r="A885">
        <v>884</v>
      </c>
      <c r="B885" t="s">
        <v>26</v>
      </c>
      <c r="C885" t="s">
        <v>19</v>
      </c>
      <c r="D885" s="1">
        <v>45310</v>
      </c>
      <c r="E885" t="s">
        <v>30</v>
      </c>
      <c r="F885">
        <v>22</v>
      </c>
      <c r="G885">
        <v>171</v>
      </c>
      <c r="H885">
        <v>13</v>
      </c>
      <c r="I885">
        <v>1286</v>
      </c>
      <c r="J885">
        <v>593</v>
      </c>
      <c r="K885">
        <v>61</v>
      </c>
      <c r="L885">
        <v>647</v>
      </c>
      <c r="M885">
        <v>2.0116640746500698</v>
      </c>
      <c r="N885" t="s">
        <v>21</v>
      </c>
      <c r="O885">
        <v>0</v>
      </c>
    </row>
    <row r="886" spans="1:15" x14ac:dyDescent="0.35">
      <c r="A886">
        <v>885</v>
      </c>
      <c r="B886" t="s">
        <v>15</v>
      </c>
      <c r="C886" t="s">
        <v>24</v>
      </c>
      <c r="D886" s="1">
        <v>45497</v>
      </c>
      <c r="E886" t="s">
        <v>25</v>
      </c>
      <c r="F886">
        <v>22</v>
      </c>
      <c r="G886">
        <v>95</v>
      </c>
      <c r="H886">
        <v>12</v>
      </c>
      <c r="I886">
        <v>4585</v>
      </c>
      <c r="J886">
        <v>316</v>
      </c>
      <c r="K886">
        <v>323</v>
      </c>
      <c r="L886">
        <v>353</v>
      </c>
      <c r="M886">
        <v>1.2163576881134099</v>
      </c>
      <c r="N886" t="s">
        <v>23</v>
      </c>
      <c r="O886">
        <v>0</v>
      </c>
    </row>
    <row r="887" spans="1:15" x14ac:dyDescent="0.35">
      <c r="A887">
        <v>886</v>
      </c>
      <c r="B887" t="s">
        <v>26</v>
      </c>
      <c r="C887" t="s">
        <v>24</v>
      </c>
      <c r="D887" s="1">
        <v>45520</v>
      </c>
      <c r="E887" t="s">
        <v>30</v>
      </c>
      <c r="F887">
        <v>12</v>
      </c>
      <c r="G887">
        <v>174</v>
      </c>
      <c r="H887">
        <v>2</v>
      </c>
      <c r="I887">
        <v>1730</v>
      </c>
      <c r="J887">
        <v>562</v>
      </c>
      <c r="K887">
        <v>454</v>
      </c>
      <c r="L887">
        <v>354</v>
      </c>
      <c r="M887">
        <v>1.7919075144508601</v>
      </c>
      <c r="N887" t="s">
        <v>21</v>
      </c>
      <c r="O887">
        <v>0</v>
      </c>
    </row>
    <row r="888" spans="1:15" x14ac:dyDescent="0.35">
      <c r="A888">
        <v>887</v>
      </c>
      <c r="B888" t="s">
        <v>26</v>
      </c>
      <c r="C888" t="s">
        <v>19</v>
      </c>
      <c r="D888" s="1">
        <v>45310</v>
      </c>
      <c r="E888" t="s">
        <v>30</v>
      </c>
      <c r="F888">
        <v>15</v>
      </c>
      <c r="G888">
        <v>129</v>
      </c>
      <c r="H888">
        <v>2</v>
      </c>
      <c r="I888">
        <v>4452</v>
      </c>
      <c r="J888">
        <v>347</v>
      </c>
      <c r="K888">
        <v>401</v>
      </c>
      <c r="L888">
        <v>130</v>
      </c>
      <c r="M888">
        <v>1.19721473495058</v>
      </c>
      <c r="N888" t="s">
        <v>23</v>
      </c>
      <c r="O888">
        <v>0</v>
      </c>
    </row>
    <row r="889" spans="1:15" x14ac:dyDescent="0.35">
      <c r="A889">
        <v>888</v>
      </c>
      <c r="B889" t="s">
        <v>26</v>
      </c>
      <c r="C889" t="s">
        <v>16</v>
      </c>
      <c r="D889" s="1">
        <v>45553</v>
      </c>
      <c r="E889" t="s">
        <v>25</v>
      </c>
      <c r="F889">
        <v>6</v>
      </c>
      <c r="G889">
        <v>34</v>
      </c>
      <c r="H889">
        <v>17</v>
      </c>
      <c r="I889">
        <v>4570</v>
      </c>
      <c r="J889">
        <v>324</v>
      </c>
      <c r="K889">
        <v>535</v>
      </c>
      <c r="L889">
        <v>349</v>
      </c>
      <c r="M889">
        <v>1.2643326039387299</v>
      </c>
      <c r="N889" t="s">
        <v>23</v>
      </c>
      <c r="O889">
        <v>0</v>
      </c>
    </row>
    <row r="890" spans="1:15" x14ac:dyDescent="0.35">
      <c r="A890">
        <v>889</v>
      </c>
      <c r="B890" t="s">
        <v>26</v>
      </c>
      <c r="C890" t="s">
        <v>16</v>
      </c>
      <c r="D890" s="1">
        <v>45424</v>
      </c>
      <c r="E890" t="s">
        <v>20</v>
      </c>
      <c r="F890">
        <v>7</v>
      </c>
      <c r="G890">
        <v>210</v>
      </c>
      <c r="H890">
        <v>8</v>
      </c>
      <c r="I890">
        <v>2027</v>
      </c>
      <c r="J890">
        <v>797</v>
      </c>
      <c r="K890">
        <v>313</v>
      </c>
      <c r="L890">
        <v>433</v>
      </c>
      <c r="M890">
        <v>1.7612234829797699</v>
      </c>
      <c r="N890" t="s">
        <v>21</v>
      </c>
      <c r="O890">
        <v>0</v>
      </c>
    </row>
    <row r="891" spans="1:15" x14ac:dyDescent="0.35">
      <c r="A891">
        <v>890</v>
      </c>
      <c r="B891" t="s">
        <v>15</v>
      </c>
      <c r="C891" t="s">
        <v>24</v>
      </c>
      <c r="D891" s="1">
        <v>45551</v>
      </c>
      <c r="E891" t="s">
        <v>29</v>
      </c>
      <c r="F891">
        <v>15</v>
      </c>
      <c r="G891">
        <v>22</v>
      </c>
      <c r="H891">
        <v>14</v>
      </c>
      <c r="I891">
        <v>2953</v>
      </c>
      <c r="J891">
        <v>131</v>
      </c>
      <c r="K891">
        <v>50</v>
      </c>
      <c r="L891">
        <v>667</v>
      </c>
      <c r="M891">
        <v>1.28716559431087</v>
      </c>
      <c r="N891" t="s">
        <v>23</v>
      </c>
      <c r="O891">
        <v>0</v>
      </c>
    </row>
    <row r="892" spans="1:15" x14ac:dyDescent="0.35">
      <c r="A892">
        <v>891</v>
      </c>
      <c r="B892" t="s">
        <v>26</v>
      </c>
      <c r="C892" t="s">
        <v>19</v>
      </c>
      <c r="D892" s="1">
        <v>45465</v>
      </c>
      <c r="E892" t="s">
        <v>28</v>
      </c>
      <c r="F892">
        <v>23</v>
      </c>
      <c r="G892">
        <v>139</v>
      </c>
      <c r="H892">
        <v>11</v>
      </c>
      <c r="I892">
        <v>1984</v>
      </c>
      <c r="J892">
        <v>768</v>
      </c>
      <c r="K892">
        <v>597</v>
      </c>
      <c r="L892">
        <v>580</v>
      </c>
      <c r="M892">
        <v>1.98034274193548</v>
      </c>
      <c r="N892" t="s">
        <v>21</v>
      </c>
      <c r="O892">
        <v>0</v>
      </c>
    </row>
    <row r="893" spans="1:15" x14ac:dyDescent="0.35">
      <c r="A893">
        <v>892</v>
      </c>
      <c r="B893" t="s">
        <v>15</v>
      </c>
      <c r="C893" t="s">
        <v>19</v>
      </c>
      <c r="D893" s="1">
        <v>45445</v>
      </c>
      <c r="E893" t="s">
        <v>20</v>
      </c>
      <c r="F893">
        <v>18</v>
      </c>
      <c r="G893">
        <v>286</v>
      </c>
      <c r="H893">
        <v>7</v>
      </c>
      <c r="I893">
        <v>2380</v>
      </c>
      <c r="J893">
        <v>687</v>
      </c>
      <c r="K893">
        <v>588</v>
      </c>
      <c r="L893">
        <v>689</v>
      </c>
      <c r="M893">
        <v>1.8252100840336101</v>
      </c>
      <c r="N893" t="s">
        <v>21</v>
      </c>
      <c r="O893">
        <v>0</v>
      </c>
    </row>
    <row r="894" spans="1:15" x14ac:dyDescent="0.35">
      <c r="A894">
        <v>893</v>
      </c>
      <c r="B894" t="s">
        <v>22</v>
      </c>
      <c r="C894" t="s">
        <v>24</v>
      </c>
      <c r="D894" s="1">
        <v>45345</v>
      </c>
      <c r="E894" t="s">
        <v>30</v>
      </c>
      <c r="F894">
        <v>9</v>
      </c>
      <c r="G894">
        <v>95</v>
      </c>
      <c r="H894">
        <v>13</v>
      </c>
      <c r="I894">
        <v>2735</v>
      </c>
      <c r="J894">
        <v>533</v>
      </c>
      <c r="K894">
        <v>598</v>
      </c>
      <c r="L894">
        <v>198</v>
      </c>
      <c r="M894">
        <v>1.4859232175502699</v>
      </c>
      <c r="N894" t="s">
        <v>23</v>
      </c>
      <c r="O894">
        <v>0</v>
      </c>
    </row>
    <row r="895" spans="1:15" x14ac:dyDescent="0.35">
      <c r="A895">
        <v>894</v>
      </c>
      <c r="B895" t="s">
        <v>15</v>
      </c>
      <c r="C895" t="s">
        <v>24</v>
      </c>
      <c r="D895" s="1">
        <v>45502</v>
      </c>
      <c r="E895" t="s">
        <v>29</v>
      </c>
      <c r="F895">
        <v>12</v>
      </c>
      <c r="G895">
        <v>248</v>
      </c>
      <c r="H895">
        <v>2</v>
      </c>
      <c r="I895">
        <v>721</v>
      </c>
      <c r="J895">
        <v>99</v>
      </c>
      <c r="K895">
        <v>65</v>
      </c>
      <c r="L895">
        <v>436</v>
      </c>
      <c r="M895">
        <v>1.8321775312066499</v>
      </c>
      <c r="N895" t="s">
        <v>21</v>
      </c>
      <c r="O895">
        <v>0</v>
      </c>
    </row>
    <row r="896" spans="1:15" x14ac:dyDescent="0.35">
      <c r="A896">
        <v>895</v>
      </c>
      <c r="B896" t="s">
        <v>22</v>
      </c>
      <c r="C896" t="s">
        <v>24</v>
      </c>
      <c r="D896" s="1">
        <v>45481</v>
      </c>
      <c r="E896" t="s">
        <v>29</v>
      </c>
      <c r="F896">
        <v>21</v>
      </c>
      <c r="G896">
        <v>236</v>
      </c>
      <c r="H896">
        <v>14</v>
      </c>
      <c r="I896">
        <v>4361</v>
      </c>
      <c r="J896">
        <v>417</v>
      </c>
      <c r="K896">
        <v>574</v>
      </c>
      <c r="L896">
        <v>532</v>
      </c>
      <c r="M896">
        <v>1.3492318275624799</v>
      </c>
      <c r="N896" t="s">
        <v>23</v>
      </c>
      <c r="O896">
        <v>0</v>
      </c>
    </row>
    <row r="897" spans="1:15" x14ac:dyDescent="0.35">
      <c r="A897">
        <v>896</v>
      </c>
      <c r="B897" t="s">
        <v>15</v>
      </c>
      <c r="C897" t="s">
        <v>24</v>
      </c>
      <c r="D897" s="1">
        <v>45542</v>
      </c>
      <c r="E897" t="s">
        <v>28</v>
      </c>
      <c r="F897">
        <v>20</v>
      </c>
      <c r="G897">
        <v>86</v>
      </c>
      <c r="H897">
        <v>16</v>
      </c>
      <c r="I897">
        <v>3465</v>
      </c>
      <c r="J897">
        <v>171</v>
      </c>
      <c r="K897">
        <v>149</v>
      </c>
      <c r="L897">
        <v>518</v>
      </c>
      <c r="M897">
        <v>1.24184704184704</v>
      </c>
      <c r="N897" t="s">
        <v>23</v>
      </c>
      <c r="O897">
        <v>0</v>
      </c>
    </row>
    <row r="898" spans="1:15" x14ac:dyDescent="0.35">
      <c r="A898">
        <v>897</v>
      </c>
      <c r="B898" t="s">
        <v>22</v>
      </c>
      <c r="C898" t="s">
        <v>16</v>
      </c>
      <c r="D898" s="1">
        <v>45562</v>
      </c>
      <c r="E898" t="s">
        <v>30</v>
      </c>
      <c r="F898">
        <v>11</v>
      </c>
      <c r="G898">
        <v>209</v>
      </c>
      <c r="H898">
        <v>3</v>
      </c>
      <c r="I898">
        <v>1017</v>
      </c>
      <c r="J898">
        <v>716</v>
      </c>
      <c r="K898">
        <v>219</v>
      </c>
      <c r="L898">
        <v>467</v>
      </c>
      <c r="M898">
        <v>2.3785644051130701</v>
      </c>
      <c r="N898" t="s">
        <v>21</v>
      </c>
      <c r="O898">
        <v>0</v>
      </c>
    </row>
    <row r="899" spans="1:15" x14ac:dyDescent="0.35">
      <c r="A899">
        <v>898</v>
      </c>
      <c r="B899" t="s">
        <v>22</v>
      </c>
      <c r="C899" t="s">
        <v>16</v>
      </c>
      <c r="D899" s="1">
        <v>45501</v>
      </c>
      <c r="E899" t="s">
        <v>20</v>
      </c>
      <c r="F899">
        <v>22</v>
      </c>
      <c r="G899">
        <v>98</v>
      </c>
      <c r="H899">
        <v>3</v>
      </c>
      <c r="I899">
        <v>953</v>
      </c>
      <c r="J899">
        <v>128</v>
      </c>
      <c r="K899">
        <v>380</v>
      </c>
      <c r="L899">
        <v>586</v>
      </c>
      <c r="M899">
        <v>2.1479538300104899</v>
      </c>
      <c r="N899" t="s">
        <v>21</v>
      </c>
      <c r="O899">
        <v>0</v>
      </c>
    </row>
    <row r="900" spans="1:15" x14ac:dyDescent="0.35">
      <c r="A900">
        <v>899</v>
      </c>
      <c r="B900" t="s">
        <v>22</v>
      </c>
      <c r="C900" t="s">
        <v>16</v>
      </c>
      <c r="D900" s="1">
        <v>45482</v>
      </c>
      <c r="E900" t="s">
        <v>17</v>
      </c>
      <c r="F900">
        <v>10</v>
      </c>
      <c r="G900">
        <v>92</v>
      </c>
      <c r="H900">
        <v>18</v>
      </c>
      <c r="I900">
        <v>2547</v>
      </c>
      <c r="J900">
        <v>388</v>
      </c>
      <c r="K900">
        <v>312</v>
      </c>
      <c r="L900">
        <v>302</v>
      </c>
      <c r="M900">
        <v>1.39340400471142</v>
      </c>
      <c r="N900" t="s">
        <v>23</v>
      </c>
      <c r="O900">
        <v>0</v>
      </c>
    </row>
    <row r="901" spans="1:15" x14ac:dyDescent="0.35">
      <c r="A901">
        <v>900</v>
      </c>
      <c r="B901" t="s">
        <v>15</v>
      </c>
      <c r="C901" t="s">
        <v>19</v>
      </c>
      <c r="D901" s="1">
        <v>45507</v>
      </c>
      <c r="E901" t="s">
        <v>28</v>
      </c>
      <c r="F901">
        <v>21</v>
      </c>
      <c r="G901">
        <v>21</v>
      </c>
      <c r="H901">
        <v>3</v>
      </c>
      <c r="I901">
        <v>448</v>
      </c>
      <c r="J901">
        <v>317</v>
      </c>
      <c r="K901">
        <v>292</v>
      </c>
      <c r="L901">
        <v>221</v>
      </c>
      <c r="M901">
        <v>2.8526785714285698</v>
      </c>
      <c r="N901" t="s">
        <v>18</v>
      </c>
      <c r="O901">
        <v>0</v>
      </c>
    </row>
    <row r="902" spans="1:15" x14ac:dyDescent="0.35">
      <c r="A902">
        <v>901</v>
      </c>
      <c r="B902" t="s">
        <v>22</v>
      </c>
      <c r="C902" t="s">
        <v>19</v>
      </c>
      <c r="D902" s="1">
        <v>45572</v>
      </c>
      <c r="E902" t="s">
        <v>29</v>
      </c>
      <c r="F902">
        <v>15</v>
      </c>
      <c r="G902">
        <v>251</v>
      </c>
      <c r="H902">
        <v>10</v>
      </c>
      <c r="I902">
        <v>2906</v>
      </c>
      <c r="J902">
        <v>74</v>
      </c>
      <c r="K902">
        <v>47</v>
      </c>
      <c r="L902">
        <v>428</v>
      </c>
      <c r="M902">
        <v>1.1889194769442499</v>
      </c>
      <c r="N902" t="s">
        <v>23</v>
      </c>
      <c r="O902">
        <v>0</v>
      </c>
    </row>
    <row r="903" spans="1:15" x14ac:dyDescent="0.35">
      <c r="A903">
        <v>902</v>
      </c>
      <c r="B903" t="s">
        <v>26</v>
      </c>
      <c r="C903" t="s">
        <v>19</v>
      </c>
      <c r="D903" s="1">
        <v>45485</v>
      </c>
      <c r="E903" t="s">
        <v>30</v>
      </c>
      <c r="F903">
        <v>20</v>
      </c>
      <c r="G903">
        <v>250</v>
      </c>
      <c r="H903">
        <v>14</v>
      </c>
      <c r="I903">
        <v>3943</v>
      </c>
      <c r="J903">
        <v>742</v>
      </c>
      <c r="K903">
        <v>137</v>
      </c>
      <c r="L903">
        <v>142</v>
      </c>
      <c r="M903">
        <v>1.2589398934821201</v>
      </c>
      <c r="N903" t="s">
        <v>23</v>
      </c>
      <c r="O903">
        <v>0</v>
      </c>
    </row>
    <row r="904" spans="1:15" x14ac:dyDescent="0.35">
      <c r="A904">
        <v>903</v>
      </c>
      <c r="B904" t="s">
        <v>15</v>
      </c>
      <c r="C904" t="s">
        <v>24</v>
      </c>
      <c r="D904" s="1">
        <v>45368</v>
      </c>
      <c r="E904" t="s">
        <v>20</v>
      </c>
      <c r="F904">
        <v>16</v>
      </c>
      <c r="G904">
        <v>296</v>
      </c>
      <c r="H904">
        <v>1</v>
      </c>
      <c r="I904">
        <v>2714</v>
      </c>
      <c r="J904">
        <v>96</v>
      </c>
      <c r="K904">
        <v>421</v>
      </c>
      <c r="L904">
        <v>397</v>
      </c>
      <c r="M904">
        <v>1.3367722918201901</v>
      </c>
      <c r="N904" t="s">
        <v>23</v>
      </c>
      <c r="O904">
        <v>0</v>
      </c>
    </row>
    <row r="905" spans="1:15" x14ac:dyDescent="0.35">
      <c r="A905">
        <v>904</v>
      </c>
      <c r="B905" t="s">
        <v>26</v>
      </c>
      <c r="C905" t="s">
        <v>16</v>
      </c>
      <c r="D905" s="1">
        <v>45518</v>
      </c>
      <c r="E905" t="s">
        <v>25</v>
      </c>
      <c r="F905">
        <v>15</v>
      </c>
      <c r="G905">
        <v>83</v>
      </c>
      <c r="H905">
        <v>20</v>
      </c>
      <c r="I905">
        <v>2322</v>
      </c>
      <c r="J905">
        <v>666</v>
      </c>
      <c r="K905">
        <v>92</v>
      </c>
      <c r="L905">
        <v>170</v>
      </c>
      <c r="M905">
        <v>1.39965546942291</v>
      </c>
      <c r="N905" t="s">
        <v>23</v>
      </c>
      <c r="O905">
        <v>0</v>
      </c>
    </row>
    <row r="906" spans="1:15" x14ac:dyDescent="0.35">
      <c r="A906">
        <v>905</v>
      </c>
      <c r="B906" t="s">
        <v>15</v>
      </c>
      <c r="C906" t="s">
        <v>19</v>
      </c>
      <c r="D906" s="1">
        <v>45578</v>
      </c>
      <c r="E906" t="s">
        <v>20</v>
      </c>
      <c r="F906">
        <v>22</v>
      </c>
      <c r="G906">
        <v>116</v>
      </c>
      <c r="H906">
        <v>15</v>
      </c>
      <c r="I906">
        <v>747</v>
      </c>
      <c r="J906">
        <v>202</v>
      </c>
      <c r="K906">
        <v>556</v>
      </c>
      <c r="L906">
        <v>591</v>
      </c>
      <c r="M906">
        <v>2.8058902275769699</v>
      </c>
      <c r="N906" t="s">
        <v>18</v>
      </c>
      <c r="O906">
        <v>1</v>
      </c>
    </row>
    <row r="907" spans="1:15" x14ac:dyDescent="0.35">
      <c r="A907">
        <v>906</v>
      </c>
      <c r="B907" t="s">
        <v>15</v>
      </c>
      <c r="C907" t="s">
        <v>24</v>
      </c>
      <c r="D907" s="1">
        <v>45549</v>
      </c>
      <c r="E907" t="s">
        <v>28</v>
      </c>
      <c r="F907">
        <v>12</v>
      </c>
      <c r="G907">
        <v>145</v>
      </c>
      <c r="H907">
        <v>18</v>
      </c>
      <c r="I907">
        <v>202</v>
      </c>
      <c r="J907">
        <v>128</v>
      </c>
      <c r="K907">
        <v>546</v>
      </c>
      <c r="L907">
        <v>185</v>
      </c>
      <c r="M907">
        <v>5.2524752475247496</v>
      </c>
      <c r="N907" t="s">
        <v>18</v>
      </c>
      <c r="O907">
        <v>1</v>
      </c>
    </row>
    <row r="908" spans="1:15" x14ac:dyDescent="0.35">
      <c r="A908">
        <v>907</v>
      </c>
      <c r="B908" t="s">
        <v>26</v>
      </c>
      <c r="C908" t="s">
        <v>16</v>
      </c>
      <c r="D908" s="1">
        <v>45519</v>
      </c>
      <c r="E908" t="s">
        <v>27</v>
      </c>
      <c r="F908">
        <v>21</v>
      </c>
      <c r="G908">
        <v>31</v>
      </c>
      <c r="H908">
        <v>10</v>
      </c>
      <c r="I908">
        <v>743</v>
      </c>
      <c r="J908">
        <v>551</v>
      </c>
      <c r="K908">
        <v>330</v>
      </c>
      <c r="L908">
        <v>412</v>
      </c>
      <c r="M908">
        <v>2.7402422611036301</v>
      </c>
      <c r="N908" t="s">
        <v>18</v>
      </c>
      <c r="O908">
        <v>0</v>
      </c>
    </row>
    <row r="909" spans="1:15" x14ac:dyDescent="0.35">
      <c r="A909">
        <v>908</v>
      </c>
      <c r="B909" t="s">
        <v>22</v>
      </c>
      <c r="C909" t="s">
        <v>24</v>
      </c>
      <c r="D909" s="1">
        <v>45515</v>
      </c>
      <c r="E909" t="s">
        <v>20</v>
      </c>
      <c r="F909">
        <v>14</v>
      </c>
      <c r="G909">
        <v>66</v>
      </c>
      <c r="H909">
        <v>3</v>
      </c>
      <c r="I909">
        <v>1528</v>
      </c>
      <c r="J909">
        <v>429</v>
      </c>
      <c r="K909">
        <v>26</v>
      </c>
      <c r="L909">
        <v>541</v>
      </c>
      <c r="M909">
        <v>1.65183246073298</v>
      </c>
      <c r="N909" t="s">
        <v>21</v>
      </c>
      <c r="O909">
        <v>0</v>
      </c>
    </row>
    <row r="910" spans="1:15" x14ac:dyDescent="0.35">
      <c r="A910">
        <v>909</v>
      </c>
      <c r="B910" t="s">
        <v>15</v>
      </c>
      <c r="C910" t="s">
        <v>24</v>
      </c>
      <c r="D910" s="1">
        <v>45342</v>
      </c>
      <c r="E910" t="s">
        <v>17</v>
      </c>
      <c r="F910">
        <v>8</v>
      </c>
      <c r="G910">
        <v>98</v>
      </c>
      <c r="H910">
        <v>9</v>
      </c>
      <c r="I910">
        <v>4488</v>
      </c>
      <c r="J910">
        <v>177</v>
      </c>
      <c r="K910">
        <v>294</v>
      </c>
      <c r="L910">
        <v>148</v>
      </c>
      <c r="M910">
        <v>1.13792335115864</v>
      </c>
      <c r="N910" t="s">
        <v>23</v>
      </c>
      <c r="O910">
        <v>0</v>
      </c>
    </row>
    <row r="911" spans="1:15" x14ac:dyDescent="0.35">
      <c r="A911">
        <v>910</v>
      </c>
      <c r="B911" t="s">
        <v>15</v>
      </c>
      <c r="C911" t="s">
        <v>19</v>
      </c>
      <c r="D911" s="1">
        <v>45500</v>
      </c>
      <c r="E911" t="s">
        <v>28</v>
      </c>
      <c r="F911">
        <v>7</v>
      </c>
      <c r="G911">
        <v>172</v>
      </c>
      <c r="H911">
        <v>12</v>
      </c>
      <c r="I911">
        <v>1436</v>
      </c>
      <c r="J911">
        <v>65</v>
      </c>
      <c r="K911">
        <v>335</v>
      </c>
      <c r="L911">
        <v>186</v>
      </c>
      <c r="M911">
        <v>1.4080779944289601</v>
      </c>
      <c r="N911" t="s">
        <v>23</v>
      </c>
      <c r="O911">
        <v>0</v>
      </c>
    </row>
    <row r="912" spans="1:15" x14ac:dyDescent="0.35">
      <c r="A912">
        <v>911</v>
      </c>
      <c r="B912" t="s">
        <v>22</v>
      </c>
      <c r="C912" t="s">
        <v>24</v>
      </c>
      <c r="D912" s="1">
        <v>45342</v>
      </c>
      <c r="E912" t="s">
        <v>17</v>
      </c>
      <c r="F912">
        <v>9</v>
      </c>
      <c r="G912">
        <v>46</v>
      </c>
      <c r="H912">
        <v>6</v>
      </c>
      <c r="I912">
        <v>2671</v>
      </c>
      <c r="J912">
        <v>150</v>
      </c>
      <c r="K912">
        <v>424</v>
      </c>
      <c r="L912">
        <v>332</v>
      </c>
      <c r="M912">
        <v>1.3391988019468299</v>
      </c>
      <c r="N912" t="s">
        <v>23</v>
      </c>
      <c r="O912">
        <v>0</v>
      </c>
    </row>
    <row r="913" spans="1:15" x14ac:dyDescent="0.35">
      <c r="A913">
        <v>912</v>
      </c>
      <c r="B913" t="s">
        <v>26</v>
      </c>
      <c r="C913" t="s">
        <v>19</v>
      </c>
      <c r="D913" s="1">
        <v>45414</v>
      </c>
      <c r="E913" t="s">
        <v>27</v>
      </c>
      <c r="F913">
        <v>18</v>
      </c>
      <c r="G913">
        <v>78</v>
      </c>
      <c r="H913">
        <v>8</v>
      </c>
      <c r="I913">
        <v>4940</v>
      </c>
      <c r="J913">
        <v>605</v>
      </c>
      <c r="K913">
        <v>244</v>
      </c>
      <c r="L913">
        <v>505</v>
      </c>
      <c r="M913">
        <v>1.2740890688259101</v>
      </c>
      <c r="N913" t="s">
        <v>23</v>
      </c>
      <c r="O913">
        <v>0</v>
      </c>
    </row>
    <row r="914" spans="1:15" x14ac:dyDescent="0.35">
      <c r="A914">
        <v>913</v>
      </c>
      <c r="B914" t="s">
        <v>15</v>
      </c>
      <c r="C914" t="s">
        <v>24</v>
      </c>
      <c r="D914" s="1">
        <v>45323</v>
      </c>
      <c r="E914" t="s">
        <v>27</v>
      </c>
      <c r="F914">
        <v>6</v>
      </c>
      <c r="G914">
        <v>228</v>
      </c>
      <c r="H914">
        <v>20</v>
      </c>
      <c r="I914">
        <v>2657</v>
      </c>
      <c r="J914">
        <v>480</v>
      </c>
      <c r="K914">
        <v>568</v>
      </c>
      <c r="L914">
        <v>417</v>
      </c>
      <c r="M914">
        <v>1.55137372977041</v>
      </c>
      <c r="N914" t="s">
        <v>23</v>
      </c>
      <c r="O914">
        <v>0</v>
      </c>
    </row>
    <row r="915" spans="1:15" x14ac:dyDescent="0.35">
      <c r="A915">
        <v>914</v>
      </c>
      <c r="B915" t="s">
        <v>26</v>
      </c>
      <c r="C915" t="s">
        <v>16</v>
      </c>
      <c r="D915" s="1">
        <v>45411</v>
      </c>
      <c r="E915" t="s">
        <v>29</v>
      </c>
      <c r="F915">
        <v>13</v>
      </c>
      <c r="G915">
        <v>84</v>
      </c>
      <c r="H915">
        <v>9</v>
      </c>
      <c r="I915">
        <v>202</v>
      </c>
      <c r="J915">
        <v>280</v>
      </c>
      <c r="K915">
        <v>569</v>
      </c>
      <c r="L915">
        <v>601</v>
      </c>
      <c r="M915">
        <v>8.1782178217821695</v>
      </c>
      <c r="N915" t="s">
        <v>18</v>
      </c>
      <c r="O915">
        <v>1</v>
      </c>
    </row>
    <row r="916" spans="1:15" x14ac:dyDescent="0.35">
      <c r="A916">
        <v>915</v>
      </c>
      <c r="B916" t="s">
        <v>26</v>
      </c>
      <c r="C916" t="s">
        <v>16</v>
      </c>
      <c r="D916" s="1">
        <v>45582</v>
      </c>
      <c r="E916" t="s">
        <v>27</v>
      </c>
      <c r="F916">
        <v>10</v>
      </c>
      <c r="G916">
        <v>211</v>
      </c>
      <c r="H916">
        <v>17</v>
      </c>
      <c r="I916">
        <v>3382</v>
      </c>
      <c r="J916">
        <v>461</v>
      </c>
      <c r="K916">
        <v>87</v>
      </c>
      <c r="L916">
        <v>652</v>
      </c>
      <c r="M916">
        <v>1.35481963335304</v>
      </c>
      <c r="N916" t="s">
        <v>23</v>
      </c>
      <c r="O916">
        <v>0</v>
      </c>
    </row>
    <row r="917" spans="1:15" x14ac:dyDescent="0.35">
      <c r="A917">
        <v>916</v>
      </c>
      <c r="B917" t="s">
        <v>22</v>
      </c>
      <c r="C917" t="s">
        <v>16</v>
      </c>
      <c r="D917" s="1">
        <v>45378</v>
      </c>
      <c r="E917" t="s">
        <v>25</v>
      </c>
      <c r="F917">
        <v>6</v>
      </c>
      <c r="G917">
        <v>257</v>
      </c>
      <c r="H917">
        <v>19</v>
      </c>
      <c r="I917">
        <v>2058</v>
      </c>
      <c r="J917">
        <v>555</v>
      </c>
      <c r="K917">
        <v>435</v>
      </c>
      <c r="L917">
        <v>569</v>
      </c>
      <c r="M917">
        <v>1.7575315840621899</v>
      </c>
      <c r="N917" t="s">
        <v>21</v>
      </c>
      <c r="O917">
        <v>0</v>
      </c>
    </row>
    <row r="918" spans="1:15" x14ac:dyDescent="0.35">
      <c r="A918">
        <v>917</v>
      </c>
      <c r="B918" t="s">
        <v>22</v>
      </c>
      <c r="C918" t="s">
        <v>19</v>
      </c>
      <c r="D918" s="1">
        <v>45440</v>
      </c>
      <c r="E918" t="s">
        <v>17</v>
      </c>
      <c r="F918">
        <v>14</v>
      </c>
      <c r="G918">
        <v>214</v>
      </c>
      <c r="H918">
        <v>11</v>
      </c>
      <c r="I918">
        <v>1421</v>
      </c>
      <c r="J918">
        <v>5</v>
      </c>
      <c r="K918">
        <v>63</v>
      </c>
      <c r="L918">
        <v>494</v>
      </c>
      <c r="M918">
        <v>1.39549612948627</v>
      </c>
      <c r="N918" t="s">
        <v>23</v>
      </c>
      <c r="O918">
        <v>0</v>
      </c>
    </row>
    <row r="919" spans="1:15" x14ac:dyDescent="0.35">
      <c r="A919">
        <v>918</v>
      </c>
      <c r="B919" t="s">
        <v>15</v>
      </c>
      <c r="C919" t="s">
        <v>19</v>
      </c>
      <c r="D919" s="1">
        <v>45400</v>
      </c>
      <c r="E919" t="s">
        <v>27</v>
      </c>
      <c r="F919">
        <v>23</v>
      </c>
      <c r="G919">
        <v>55</v>
      </c>
      <c r="H919">
        <v>9</v>
      </c>
      <c r="I919">
        <v>4843</v>
      </c>
      <c r="J919">
        <v>527</v>
      </c>
      <c r="K919">
        <v>290</v>
      </c>
      <c r="L919">
        <v>47</v>
      </c>
      <c r="M919">
        <v>1.1784018170555399</v>
      </c>
      <c r="N919" t="s">
        <v>23</v>
      </c>
      <c r="O919">
        <v>0</v>
      </c>
    </row>
    <row r="920" spans="1:15" x14ac:dyDescent="0.35">
      <c r="A920">
        <v>919</v>
      </c>
      <c r="B920" t="s">
        <v>26</v>
      </c>
      <c r="C920" t="s">
        <v>19</v>
      </c>
      <c r="D920" s="1">
        <v>45337</v>
      </c>
      <c r="E920" t="s">
        <v>27</v>
      </c>
      <c r="F920">
        <v>14</v>
      </c>
      <c r="G920">
        <v>241</v>
      </c>
      <c r="H920">
        <v>6</v>
      </c>
      <c r="I920">
        <v>3288</v>
      </c>
      <c r="J920">
        <v>720</v>
      </c>
      <c r="K920">
        <v>127</v>
      </c>
      <c r="L920">
        <v>144</v>
      </c>
      <c r="M920">
        <v>1.3013990267639901</v>
      </c>
      <c r="N920" t="s">
        <v>23</v>
      </c>
      <c r="O920">
        <v>0</v>
      </c>
    </row>
    <row r="921" spans="1:15" x14ac:dyDescent="0.35">
      <c r="A921">
        <v>920</v>
      </c>
      <c r="B921" t="s">
        <v>22</v>
      </c>
      <c r="C921" t="s">
        <v>19</v>
      </c>
      <c r="D921" s="1">
        <v>45550</v>
      </c>
      <c r="E921" t="s">
        <v>20</v>
      </c>
      <c r="F921">
        <v>20</v>
      </c>
      <c r="G921">
        <v>159</v>
      </c>
      <c r="H921">
        <v>7</v>
      </c>
      <c r="I921">
        <v>2657</v>
      </c>
      <c r="J921">
        <v>703</v>
      </c>
      <c r="K921">
        <v>352</v>
      </c>
      <c r="L921">
        <v>651</v>
      </c>
      <c r="M921">
        <v>1.6420775310500499</v>
      </c>
      <c r="N921" t="s">
        <v>21</v>
      </c>
      <c r="O921">
        <v>0</v>
      </c>
    </row>
    <row r="922" spans="1:15" x14ac:dyDescent="0.35">
      <c r="A922">
        <v>921</v>
      </c>
      <c r="B922" t="s">
        <v>22</v>
      </c>
      <c r="C922" t="s">
        <v>16</v>
      </c>
      <c r="D922" s="1">
        <v>45456</v>
      </c>
      <c r="E922" t="s">
        <v>27</v>
      </c>
      <c r="F922">
        <v>10</v>
      </c>
      <c r="G922">
        <v>21</v>
      </c>
      <c r="H922">
        <v>19</v>
      </c>
      <c r="I922">
        <v>2848</v>
      </c>
      <c r="J922">
        <v>220</v>
      </c>
      <c r="K922">
        <v>472</v>
      </c>
      <c r="L922">
        <v>614</v>
      </c>
      <c r="M922">
        <v>1.4585674157303301</v>
      </c>
      <c r="N922" t="s">
        <v>23</v>
      </c>
      <c r="O922">
        <v>0</v>
      </c>
    </row>
    <row r="923" spans="1:15" x14ac:dyDescent="0.35">
      <c r="A923">
        <v>922</v>
      </c>
      <c r="B923" t="s">
        <v>26</v>
      </c>
      <c r="C923" t="s">
        <v>19</v>
      </c>
      <c r="D923" s="1">
        <v>45535</v>
      </c>
      <c r="E923" t="s">
        <v>28</v>
      </c>
      <c r="F923">
        <v>21</v>
      </c>
      <c r="G923">
        <v>221</v>
      </c>
      <c r="H923">
        <v>17</v>
      </c>
      <c r="I923">
        <v>85</v>
      </c>
      <c r="J923">
        <v>14</v>
      </c>
      <c r="K923">
        <v>179</v>
      </c>
      <c r="L923">
        <v>424</v>
      </c>
      <c r="M923">
        <v>8.2588235294117602</v>
      </c>
      <c r="N923" t="s">
        <v>18</v>
      </c>
      <c r="O923">
        <v>0</v>
      </c>
    </row>
    <row r="924" spans="1:15" x14ac:dyDescent="0.35">
      <c r="A924">
        <v>923</v>
      </c>
      <c r="B924" t="s">
        <v>22</v>
      </c>
      <c r="C924" t="s">
        <v>19</v>
      </c>
      <c r="D924" s="1">
        <v>45333</v>
      </c>
      <c r="E924" t="s">
        <v>20</v>
      </c>
      <c r="F924">
        <v>9</v>
      </c>
      <c r="G924">
        <v>200</v>
      </c>
      <c r="H924">
        <v>12</v>
      </c>
      <c r="I924">
        <v>685</v>
      </c>
      <c r="J924">
        <v>556</v>
      </c>
      <c r="K924">
        <v>33</v>
      </c>
      <c r="L924">
        <v>688</v>
      </c>
      <c r="M924">
        <v>2.8642335766423299</v>
      </c>
      <c r="N924" t="s">
        <v>18</v>
      </c>
      <c r="O924">
        <v>0</v>
      </c>
    </row>
    <row r="925" spans="1:15" x14ac:dyDescent="0.35">
      <c r="A925">
        <v>924</v>
      </c>
      <c r="B925" t="s">
        <v>22</v>
      </c>
      <c r="C925" t="s">
        <v>24</v>
      </c>
      <c r="D925" s="1">
        <v>45475</v>
      </c>
      <c r="E925" t="s">
        <v>17</v>
      </c>
      <c r="F925">
        <v>12</v>
      </c>
      <c r="G925">
        <v>247</v>
      </c>
      <c r="H925">
        <v>0</v>
      </c>
      <c r="I925">
        <v>3218</v>
      </c>
      <c r="J925">
        <v>186</v>
      </c>
      <c r="K925">
        <v>10</v>
      </c>
      <c r="L925">
        <v>128</v>
      </c>
      <c r="M925">
        <v>1.1006836544437499</v>
      </c>
      <c r="N925" t="s">
        <v>23</v>
      </c>
      <c r="O925">
        <v>0</v>
      </c>
    </row>
    <row r="926" spans="1:15" x14ac:dyDescent="0.35">
      <c r="A926">
        <v>925</v>
      </c>
      <c r="B926" t="s">
        <v>26</v>
      </c>
      <c r="C926" t="s">
        <v>24</v>
      </c>
      <c r="D926" s="1">
        <v>45405</v>
      </c>
      <c r="E926" t="s">
        <v>17</v>
      </c>
      <c r="F926">
        <v>12</v>
      </c>
      <c r="G926">
        <v>66</v>
      </c>
      <c r="H926">
        <v>19</v>
      </c>
      <c r="I926">
        <v>212</v>
      </c>
      <c r="J926">
        <v>781</v>
      </c>
      <c r="K926">
        <v>289</v>
      </c>
      <c r="L926">
        <v>697</v>
      </c>
      <c r="M926">
        <v>9.3349056603773608</v>
      </c>
      <c r="N926" t="s">
        <v>18</v>
      </c>
      <c r="O926">
        <v>0</v>
      </c>
    </row>
    <row r="927" spans="1:15" x14ac:dyDescent="0.35">
      <c r="A927">
        <v>926</v>
      </c>
      <c r="B927" t="s">
        <v>15</v>
      </c>
      <c r="C927" t="s">
        <v>24</v>
      </c>
      <c r="D927" s="1">
        <v>45447</v>
      </c>
      <c r="E927" t="s">
        <v>17</v>
      </c>
      <c r="F927">
        <v>21</v>
      </c>
      <c r="G927">
        <v>127</v>
      </c>
      <c r="H927">
        <v>0</v>
      </c>
      <c r="I927">
        <v>1861</v>
      </c>
      <c r="J927">
        <v>244</v>
      </c>
      <c r="K927">
        <v>507</v>
      </c>
      <c r="L927">
        <v>372</v>
      </c>
      <c r="M927">
        <v>1.60343901128425</v>
      </c>
      <c r="N927" t="s">
        <v>23</v>
      </c>
      <c r="O927">
        <v>0</v>
      </c>
    </row>
    <row r="928" spans="1:15" x14ac:dyDescent="0.35">
      <c r="A928">
        <v>927</v>
      </c>
      <c r="B928" t="s">
        <v>26</v>
      </c>
      <c r="C928" t="s">
        <v>24</v>
      </c>
      <c r="D928" s="1">
        <v>45392</v>
      </c>
      <c r="E928" t="s">
        <v>25</v>
      </c>
      <c r="F928">
        <v>11</v>
      </c>
      <c r="G928">
        <v>119</v>
      </c>
      <c r="H928">
        <v>18</v>
      </c>
      <c r="I928">
        <v>3294</v>
      </c>
      <c r="J928">
        <v>118</v>
      </c>
      <c r="K928">
        <v>286</v>
      </c>
      <c r="L928">
        <v>583</v>
      </c>
      <c r="M928">
        <v>1.2996357012750399</v>
      </c>
      <c r="N928" t="s">
        <v>23</v>
      </c>
      <c r="O928">
        <v>0</v>
      </c>
    </row>
    <row r="929" spans="1:15" x14ac:dyDescent="0.35">
      <c r="A929">
        <v>928</v>
      </c>
      <c r="B929" t="s">
        <v>15</v>
      </c>
      <c r="C929" t="s">
        <v>24</v>
      </c>
      <c r="D929" s="1">
        <v>45581</v>
      </c>
      <c r="E929" t="s">
        <v>25</v>
      </c>
      <c r="F929">
        <v>13</v>
      </c>
      <c r="G929">
        <v>287</v>
      </c>
      <c r="H929">
        <v>8</v>
      </c>
      <c r="I929">
        <v>1487</v>
      </c>
      <c r="J929">
        <v>71</v>
      </c>
      <c r="K929">
        <v>133</v>
      </c>
      <c r="L929">
        <v>67</v>
      </c>
      <c r="M929">
        <v>1.182246133154</v>
      </c>
      <c r="N929" t="s">
        <v>23</v>
      </c>
      <c r="O929">
        <v>0</v>
      </c>
    </row>
    <row r="930" spans="1:15" x14ac:dyDescent="0.35">
      <c r="A930">
        <v>929</v>
      </c>
      <c r="B930" t="s">
        <v>22</v>
      </c>
      <c r="C930" t="s">
        <v>19</v>
      </c>
      <c r="D930" s="1">
        <v>45390</v>
      </c>
      <c r="E930" t="s">
        <v>29</v>
      </c>
      <c r="F930">
        <v>23</v>
      </c>
      <c r="G930">
        <v>252</v>
      </c>
      <c r="H930">
        <v>0</v>
      </c>
      <c r="I930">
        <v>239</v>
      </c>
      <c r="J930">
        <v>714</v>
      </c>
      <c r="K930">
        <v>547</v>
      </c>
      <c r="L930">
        <v>630</v>
      </c>
      <c r="M930">
        <v>8.9121338912133794</v>
      </c>
      <c r="N930" t="s">
        <v>18</v>
      </c>
      <c r="O930">
        <v>1</v>
      </c>
    </row>
    <row r="931" spans="1:15" x14ac:dyDescent="0.35">
      <c r="A931">
        <v>930</v>
      </c>
      <c r="B931" t="s">
        <v>22</v>
      </c>
      <c r="C931" t="s">
        <v>16</v>
      </c>
      <c r="D931" s="1">
        <v>45510</v>
      </c>
      <c r="E931" t="s">
        <v>17</v>
      </c>
      <c r="F931">
        <v>22</v>
      </c>
      <c r="G931">
        <v>258</v>
      </c>
      <c r="H931">
        <v>15</v>
      </c>
      <c r="I931">
        <v>474</v>
      </c>
      <c r="J931">
        <v>335</v>
      </c>
      <c r="K931">
        <v>444</v>
      </c>
      <c r="L931">
        <v>417</v>
      </c>
      <c r="M931">
        <v>3.5232067510548499</v>
      </c>
      <c r="N931" t="s">
        <v>18</v>
      </c>
      <c r="O931">
        <v>0</v>
      </c>
    </row>
    <row r="932" spans="1:15" x14ac:dyDescent="0.35">
      <c r="A932">
        <v>931</v>
      </c>
      <c r="B932" t="s">
        <v>15</v>
      </c>
      <c r="C932" t="s">
        <v>24</v>
      </c>
      <c r="D932" s="1">
        <v>45477</v>
      </c>
      <c r="E932" t="s">
        <v>27</v>
      </c>
      <c r="F932">
        <v>19</v>
      </c>
      <c r="G932">
        <v>292</v>
      </c>
      <c r="H932">
        <v>14</v>
      </c>
      <c r="I932">
        <v>4287</v>
      </c>
      <c r="J932">
        <v>782</v>
      </c>
      <c r="K932">
        <v>46</v>
      </c>
      <c r="L932">
        <v>230</v>
      </c>
      <c r="M932">
        <v>1.246792628878</v>
      </c>
      <c r="N932" t="s">
        <v>23</v>
      </c>
      <c r="O932">
        <v>0</v>
      </c>
    </row>
    <row r="933" spans="1:15" x14ac:dyDescent="0.35">
      <c r="A933">
        <v>932</v>
      </c>
      <c r="B933" t="s">
        <v>15</v>
      </c>
      <c r="C933" t="s">
        <v>19</v>
      </c>
      <c r="D933" s="1">
        <v>45453</v>
      </c>
      <c r="E933" t="s">
        <v>29</v>
      </c>
      <c r="F933">
        <v>6</v>
      </c>
      <c r="G933">
        <v>135</v>
      </c>
      <c r="H933">
        <v>13</v>
      </c>
      <c r="I933">
        <v>92</v>
      </c>
      <c r="J933">
        <v>406</v>
      </c>
      <c r="K933">
        <v>201</v>
      </c>
      <c r="L933">
        <v>343</v>
      </c>
      <c r="M933">
        <v>11.326086956521699</v>
      </c>
      <c r="N933" t="s">
        <v>18</v>
      </c>
      <c r="O933">
        <v>0</v>
      </c>
    </row>
    <row r="934" spans="1:15" x14ac:dyDescent="0.35">
      <c r="A934">
        <v>933</v>
      </c>
      <c r="B934" t="s">
        <v>22</v>
      </c>
      <c r="C934" t="s">
        <v>16</v>
      </c>
      <c r="D934" s="1">
        <v>45330</v>
      </c>
      <c r="E934" t="s">
        <v>27</v>
      </c>
      <c r="F934">
        <v>9</v>
      </c>
      <c r="G934">
        <v>34</v>
      </c>
      <c r="H934">
        <v>15</v>
      </c>
      <c r="I934">
        <v>2097</v>
      </c>
      <c r="J934">
        <v>206</v>
      </c>
      <c r="K934">
        <v>170</v>
      </c>
      <c r="L934">
        <v>338</v>
      </c>
      <c r="M934">
        <v>1.3404864091559301</v>
      </c>
      <c r="N934" t="s">
        <v>23</v>
      </c>
      <c r="O934">
        <v>0</v>
      </c>
    </row>
    <row r="935" spans="1:15" x14ac:dyDescent="0.35">
      <c r="A935">
        <v>934</v>
      </c>
      <c r="B935" t="s">
        <v>15</v>
      </c>
      <c r="C935" t="s">
        <v>16</v>
      </c>
      <c r="D935" s="1">
        <v>45513</v>
      </c>
      <c r="E935" t="s">
        <v>30</v>
      </c>
      <c r="F935">
        <v>21</v>
      </c>
      <c r="G935">
        <v>142</v>
      </c>
      <c r="H935">
        <v>10</v>
      </c>
      <c r="I935">
        <v>246</v>
      </c>
      <c r="J935">
        <v>611</v>
      </c>
      <c r="K935">
        <v>344</v>
      </c>
      <c r="L935">
        <v>257</v>
      </c>
      <c r="M935">
        <v>5.9268292682926802</v>
      </c>
      <c r="N935" t="s">
        <v>18</v>
      </c>
      <c r="O935">
        <v>0</v>
      </c>
    </row>
    <row r="936" spans="1:15" x14ac:dyDescent="0.35">
      <c r="A936">
        <v>935</v>
      </c>
      <c r="B936" t="s">
        <v>26</v>
      </c>
      <c r="C936" t="s">
        <v>19</v>
      </c>
      <c r="D936" s="1">
        <v>45319</v>
      </c>
      <c r="E936" t="s">
        <v>20</v>
      </c>
      <c r="F936">
        <v>20</v>
      </c>
      <c r="G936">
        <v>68</v>
      </c>
      <c r="H936">
        <v>20</v>
      </c>
      <c r="I936">
        <v>2782</v>
      </c>
      <c r="J936">
        <v>537</v>
      </c>
      <c r="K936">
        <v>244</v>
      </c>
      <c r="L936">
        <v>75</v>
      </c>
      <c r="M936">
        <v>1.3076923076922999</v>
      </c>
      <c r="N936" t="s">
        <v>23</v>
      </c>
      <c r="O936">
        <v>0</v>
      </c>
    </row>
    <row r="937" spans="1:15" x14ac:dyDescent="0.35">
      <c r="A937">
        <v>936</v>
      </c>
      <c r="B937" t="s">
        <v>15</v>
      </c>
      <c r="C937" t="s">
        <v>24</v>
      </c>
      <c r="D937" s="1">
        <v>45520</v>
      </c>
      <c r="E937" t="s">
        <v>30</v>
      </c>
      <c r="F937">
        <v>16</v>
      </c>
      <c r="G937">
        <v>53</v>
      </c>
      <c r="H937">
        <v>4</v>
      </c>
      <c r="I937">
        <v>4792</v>
      </c>
      <c r="J937">
        <v>132</v>
      </c>
      <c r="K937">
        <v>89</v>
      </c>
      <c r="L937">
        <v>63</v>
      </c>
      <c r="M937">
        <v>1.059265442404</v>
      </c>
      <c r="N937" t="s">
        <v>23</v>
      </c>
      <c r="O937">
        <v>0</v>
      </c>
    </row>
    <row r="938" spans="1:15" x14ac:dyDescent="0.35">
      <c r="A938">
        <v>937</v>
      </c>
      <c r="B938" t="s">
        <v>26</v>
      </c>
      <c r="C938" t="s">
        <v>24</v>
      </c>
      <c r="D938" s="1">
        <v>45323</v>
      </c>
      <c r="E938" t="s">
        <v>27</v>
      </c>
      <c r="F938">
        <v>8</v>
      </c>
      <c r="G938">
        <v>72</v>
      </c>
      <c r="H938">
        <v>1</v>
      </c>
      <c r="I938">
        <v>3670</v>
      </c>
      <c r="J938">
        <v>61</v>
      </c>
      <c r="K938">
        <v>310</v>
      </c>
      <c r="L938">
        <v>626</v>
      </c>
      <c r="M938">
        <v>1.27166212534059</v>
      </c>
      <c r="N938" t="s">
        <v>23</v>
      </c>
      <c r="O938">
        <v>0</v>
      </c>
    </row>
    <row r="939" spans="1:15" x14ac:dyDescent="0.35">
      <c r="A939">
        <v>938</v>
      </c>
      <c r="B939" t="s">
        <v>15</v>
      </c>
      <c r="C939" t="s">
        <v>19</v>
      </c>
      <c r="D939" s="1">
        <v>45578</v>
      </c>
      <c r="E939" t="s">
        <v>20</v>
      </c>
      <c r="F939">
        <v>19</v>
      </c>
      <c r="G939">
        <v>139</v>
      </c>
      <c r="H939">
        <v>19</v>
      </c>
      <c r="I939">
        <v>477</v>
      </c>
      <c r="J939">
        <v>306</v>
      </c>
      <c r="K939">
        <v>392</v>
      </c>
      <c r="L939">
        <v>412</v>
      </c>
      <c r="M939">
        <v>3.32704402515723</v>
      </c>
      <c r="N939" t="s">
        <v>18</v>
      </c>
      <c r="O939">
        <v>0</v>
      </c>
    </row>
    <row r="940" spans="1:15" x14ac:dyDescent="0.35">
      <c r="A940">
        <v>939</v>
      </c>
      <c r="B940" t="s">
        <v>26</v>
      </c>
      <c r="C940" t="s">
        <v>19</v>
      </c>
      <c r="D940" s="1">
        <v>45297</v>
      </c>
      <c r="E940" t="s">
        <v>28</v>
      </c>
      <c r="F940">
        <v>9</v>
      </c>
      <c r="G940">
        <v>193</v>
      </c>
      <c r="H940">
        <v>20</v>
      </c>
      <c r="I940">
        <v>3764</v>
      </c>
      <c r="J940">
        <v>398</v>
      </c>
      <c r="K940">
        <v>477</v>
      </c>
      <c r="L940">
        <v>439</v>
      </c>
      <c r="M940">
        <v>1.3490967056323</v>
      </c>
      <c r="N940" t="s">
        <v>23</v>
      </c>
      <c r="O940">
        <v>0</v>
      </c>
    </row>
    <row r="941" spans="1:15" x14ac:dyDescent="0.35">
      <c r="A941">
        <v>940</v>
      </c>
      <c r="B941" t="s">
        <v>15</v>
      </c>
      <c r="C941" t="s">
        <v>16</v>
      </c>
      <c r="D941" s="1">
        <v>45305</v>
      </c>
      <c r="E941" t="s">
        <v>20</v>
      </c>
      <c r="F941">
        <v>9</v>
      </c>
      <c r="G941">
        <v>26</v>
      </c>
      <c r="H941">
        <v>19</v>
      </c>
      <c r="I941">
        <v>3769</v>
      </c>
      <c r="J941">
        <v>534</v>
      </c>
      <c r="K941">
        <v>338</v>
      </c>
      <c r="L941">
        <v>602</v>
      </c>
      <c r="M941">
        <v>1.3910851684797001</v>
      </c>
      <c r="N941" t="s">
        <v>23</v>
      </c>
      <c r="O941">
        <v>0</v>
      </c>
    </row>
    <row r="942" spans="1:15" x14ac:dyDescent="0.35">
      <c r="A942">
        <v>941</v>
      </c>
      <c r="B942" t="s">
        <v>26</v>
      </c>
      <c r="C942" t="s">
        <v>19</v>
      </c>
      <c r="D942" s="1">
        <v>45326</v>
      </c>
      <c r="E942" t="s">
        <v>20</v>
      </c>
      <c r="F942">
        <v>14</v>
      </c>
      <c r="G942">
        <v>201</v>
      </c>
      <c r="H942">
        <v>13</v>
      </c>
      <c r="I942">
        <v>4906</v>
      </c>
      <c r="J942">
        <v>203</v>
      </c>
      <c r="K942">
        <v>588</v>
      </c>
      <c r="L942">
        <v>130</v>
      </c>
      <c r="M942">
        <v>1.1877293110476901</v>
      </c>
      <c r="N942" t="s">
        <v>23</v>
      </c>
      <c r="O942">
        <v>0</v>
      </c>
    </row>
    <row r="943" spans="1:15" x14ac:dyDescent="0.35">
      <c r="A943">
        <v>942</v>
      </c>
      <c r="B943" t="s">
        <v>15</v>
      </c>
      <c r="C943" t="s">
        <v>16</v>
      </c>
      <c r="D943" s="1">
        <v>45538</v>
      </c>
      <c r="E943" t="s">
        <v>17</v>
      </c>
      <c r="F943">
        <v>10</v>
      </c>
      <c r="G943">
        <v>179</v>
      </c>
      <c r="H943">
        <v>18</v>
      </c>
      <c r="I943">
        <v>3692</v>
      </c>
      <c r="J943">
        <v>195</v>
      </c>
      <c r="K943">
        <v>250</v>
      </c>
      <c r="L943">
        <v>141</v>
      </c>
      <c r="M943">
        <v>1.15872156013001</v>
      </c>
      <c r="N943" t="s">
        <v>23</v>
      </c>
      <c r="O943">
        <v>0</v>
      </c>
    </row>
    <row r="944" spans="1:15" x14ac:dyDescent="0.35">
      <c r="A944">
        <v>943</v>
      </c>
      <c r="B944" t="s">
        <v>26</v>
      </c>
      <c r="C944" t="s">
        <v>19</v>
      </c>
      <c r="D944" s="1">
        <v>45515</v>
      </c>
      <c r="E944" t="s">
        <v>20</v>
      </c>
      <c r="F944">
        <v>10</v>
      </c>
      <c r="G944">
        <v>95</v>
      </c>
      <c r="H944">
        <v>15</v>
      </c>
      <c r="I944">
        <v>4253</v>
      </c>
      <c r="J944">
        <v>672</v>
      </c>
      <c r="K944">
        <v>368</v>
      </c>
      <c r="L944">
        <v>319</v>
      </c>
      <c r="M944">
        <v>1.3195391488361099</v>
      </c>
      <c r="N944" t="s">
        <v>23</v>
      </c>
      <c r="O944">
        <v>0</v>
      </c>
    </row>
    <row r="945" spans="1:15" x14ac:dyDescent="0.35">
      <c r="A945">
        <v>944</v>
      </c>
      <c r="B945" t="s">
        <v>15</v>
      </c>
      <c r="C945" t="s">
        <v>19</v>
      </c>
      <c r="D945" s="1">
        <v>45450</v>
      </c>
      <c r="E945" t="s">
        <v>30</v>
      </c>
      <c r="F945">
        <v>10</v>
      </c>
      <c r="G945">
        <v>49</v>
      </c>
      <c r="H945">
        <v>7</v>
      </c>
      <c r="I945">
        <v>4992</v>
      </c>
      <c r="J945">
        <v>356</v>
      </c>
      <c r="K945">
        <v>300</v>
      </c>
      <c r="L945">
        <v>378</v>
      </c>
      <c r="M945">
        <v>1.2071314102564099</v>
      </c>
      <c r="N945" t="s">
        <v>23</v>
      </c>
      <c r="O945">
        <v>0</v>
      </c>
    </row>
    <row r="946" spans="1:15" x14ac:dyDescent="0.35">
      <c r="A946">
        <v>945</v>
      </c>
      <c r="B946" t="s">
        <v>15</v>
      </c>
      <c r="C946" t="s">
        <v>16</v>
      </c>
      <c r="D946" s="1">
        <v>45551</v>
      </c>
      <c r="E946" t="s">
        <v>29</v>
      </c>
      <c r="F946">
        <v>12</v>
      </c>
      <c r="G946">
        <v>55</v>
      </c>
      <c r="H946">
        <v>10</v>
      </c>
      <c r="I946">
        <v>4633</v>
      </c>
      <c r="J946">
        <v>60</v>
      </c>
      <c r="K946">
        <v>434</v>
      </c>
      <c r="L946">
        <v>353</v>
      </c>
      <c r="M946">
        <v>1.1828189078350899</v>
      </c>
      <c r="N946" t="s">
        <v>23</v>
      </c>
      <c r="O946">
        <v>0</v>
      </c>
    </row>
    <row r="947" spans="1:15" x14ac:dyDescent="0.35">
      <c r="A947">
        <v>946</v>
      </c>
      <c r="B947" t="s">
        <v>26</v>
      </c>
      <c r="C947" t="s">
        <v>24</v>
      </c>
      <c r="D947" s="1">
        <v>45388</v>
      </c>
      <c r="E947" t="s">
        <v>28</v>
      </c>
      <c r="F947">
        <v>16</v>
      </c>
      <c r="G947">
        <v>173</v>
      </c>
      <c r="H947">
        <v>13</v>
      </c>
      <c r="I947">
        <v>3947</v>
      </c>
      <c r="J947">
        <v>716</v>
      </c>
      <c r="K947">
        <v>480</v>
      </c>
      <c r="L947">
        <v>615</v>
      </c>
      <c r="M947">
        <v>1.4588294907524699</v>
      </c>
      <c r="N947" t="s">
        <v>23</v>
      </c>
      <c r="O947">
        <v>0</v>
      </c>
    </row>
    <row r="948" spans="1:15" x14ac:dyDescent="0.35">
      <c r="A948">
        <v>947</v>
      </c>
      <c r="B948" t="s">
        <v>22</v>
      </c>
      <c r="C948" t="s">
        <v>16</v>
      </c>
      <c r="D948" s="1">
        <v>45460</v>
      </c>
      <c r="E948" t="s">
        <v>29</v>
      </c>
      <c r="F948">
        <v>6</v>
      </c>
      <c r="G948">
        <v>134</v>
      </c>
      <c r="H948">
        <v>7</v>
      </c>
      <c r="I948">
        <v>1379</v>
      </c>
      <c r="J948">
        <v>112</v>
      </c>
      <c r="K948">
        <v>467</v>
      </c>
      <c r="L948">
        <v>44</v>
      </c>
      <c r="M948">
        <v>1.4517766497461899</v>
      </c>
      <c r="N948" t="s">
        <v>23</v>
      </c>
      <c r="O948">
        <v>0</v>
      </c>
    </row>
    <row r="949" spans="1:15" x14ac:dyDescent="0.35">
      <c r="A949">
        <v>948</v>
      </c>
      <c r="B949" t="s">
        <v>26</v>
      </c>
      <c r="C949" t="s">
        <v>24</v>
      </c>
      <c r="D949" s="1">
        <v>45530</v>
      </c>
      <c r="E949" t="s">
        <v>29</v>
      </c>
      <c r="F949">
        <v>12</v>
      </c>
      <c r="G949">
        <v>224</v>
      </c>
      <c r="H949">
        <v>5</v>
      </c>
      <c r="I949">
        <v>1796</v>
      </c>
      <c r="J949">
        <v>249</v>
      </c>
      <c r="K949">
        <v>494</v>
      </c>
      <c r="L949">
        <v>340</v>
      </c>
      <c r="M949">
        <v>1.6030066815144699</v>
      </c>
      <c r="N949" t="s">
        <v>23</v>
      </c>
      <c r="O949">
        <v>0</v>
      </c>
    </row>
    <row r="950" spans="1:15" x14ac:dyDescent="0.35">
      <c r="A950">
        <v>949</v>
      </c>
      <c r="B950" t="s">
        <v>15</v>
      </c>
      <c r="C950" t="s">
        <v>19</v>
      </c>
      <c r="D950" s="1">
        <v>45295</v>
      </c>
      <c r="E950" t="s">
        <v>27</v>
      </c>
      <c r="F950">
        <v>9</v>
      </c>
      <c r="G950">
        <v>92</v>
      </c>
      <c r="H950">
        <v>9</v>
      </c>
      <c r="I950">
        <v>3022</v>
      </c>
      <c r="J950">
        <v>15</v>
      </c>
      <c r="K950">
        <v>77</v>
      </c>
      <c r="L950">
        <v>367</v>
      </c>
      <c r="M950">
        <v>1.1518861681005901</v>
      </c>
      <c r="N950" t="s">
        <v>23</v>
      </c>
      <c r="O950">
        <v>0</v>
      </c>
    </row>
    <row r="951" spans="1:15" x14ac:dyDescent="0.35">
      <c r="A951">
        <v>950</v>
      </c>
      <c r="B951" t="s">
        <v>15</v>
      </c>
      <c r="C951" t="s">
        <v>16</v>
      </c>
      <c r="D951" s="1">
        <v>45517</v>
      </c>
      <c r="E951" t="s">
        <v>17</v>
      </c>
      <c r="F951">
        <v>12</v>
      </c>
      <c r="G951">
        <v>165</v>
      </c>
      <c r="H951">
        <v>5</v>
      </c>
      <c r="I951">
        <v>1642</v>
      </c>
      <c r="J951">
        <v>651</v>
      </c>
      <c r="K951">
        <v>370</v>
      </c>
      <c r="L951">
        <v>45</v>
      </c>
      <c r="M951">
        <v>1.6492082825822101</v>
      </c>
      <c r="N951" t="s">
        <v>21</v>
      </c>
      <c r="O951">
        <v>0</v>
      </c>
    </row>
    <row r="952" spans="1:15" x14ac:dyDescent="0.35">
      <c r="A952">
        <v>951</v>
      </c>
      <c r="B952" t="s">
        <v>26</v>
      </c>
      <c r="C952" t="s">
        <v>16</v>
      </c>
      <c r="D952" s="1">
        <v>45404</v>
      </c>
      <c r="E952" t="s">
        <v>29</v>
      </c>
      <c r="F952">
        <v>11</v>
      </c>
      <c r="G952">
        <v>120</v>
      </c>
      <c r="H952">
        <v>0</v>
      </c>
      <c r="I952">
        <v>2196</v>
      </c>
      <c r="J952">
        <v>741</v>
      </c>
      <c r="K952">
        <v>180</v>
      </c>
      <c r="L952">
        <v>348</v>
      </c>
      <c r="M952">
        <v>1.5778688524590101</v>
      </c>
      <c r="N952" t="s">
        <v>23</v>
      </c>
      <c r="O952">
        <v>0</v>
      </c>
    </row>
    <row r="953" spans="1:15" x14ac:dyDescent="0.35">
      <c r="A953">
        <v>952</v>
      </c>
      <c r="B953" t="s">
        <v>15</v>
      </c>
      <c r="C953" t="s">
        <v>24</v>
      </c>
      <c r="D953" s="1">
        <v>45382</v>
      </c>
      <c r="E953" t="s">
        <v>20</v>
      </c>
      <c r="F953">
        <v>9</v>
      </c>
      <c r="G953">
        <v>193</v>
      </c>
      <c r="H953">
        <v>6</v>
      </c>
      <c r="I953">
        <v>2194</v>
      </c>
      <c r="J953">
        <v>108</v>
      </c>
      <c r="K953">
        <v>23</v>
      </c>
      <c r="L953">
        <v>694</v>
      </c>
      <c r="M953">
        <v>1.37602552415679</v>
      </c>
      <c r="N953" t="s">
        <v>23</v>
      </c>
      <c r="O953">
        <v>0</v>
      </c>
    </row>
    <row r="954" spans="1:15" x14ac:dyDescent="0.35">
      <c r="A954">
        <v>953</v>
      </c>
      <c r="B954" t="s">
        <v>26</v>
      </c>
      <c r="C954" t="s">
        <v>16</v>
      </c>
      <c r="D954" s="1">
        <v>45448</v>
      </c>
      <c r="E954" t="s">
        <v>25</v>
      </c>
      <c r="F954">
        <v>22</v>
      </c>
      <c r="G954">
        <v>242</v>
      </c>
      <c r="H954">
        <v>2</v>
      </c>
      <c r="I954">
        <v>3787</v>
      </c>
      <c r="J954">
        <v>250</v>
      </c>
      <c r="K954">
        <v>380</v>
      </c>
      <c r="L954">
        <v>382</v>
      </c>
      <c r="M954">
        <v>1.2672299973593799</v>
      </c>
      <c r="N954" t="s">
        <v>23</v>
      </c>
      <c r="O954">
        <v>0</v>
      </c>
    </row>
    <row r="955" spans="1:15" x14ac:dyDescent="0.35">
      <c r="A955">
        <v>954</v>
      </c>
      <c r="B955" t="s">
        <v>26</v>
      </c>
      <c r="C955" t="s">
        <v>24</v>
      </c>
      <c r="D955" s="1">
        <v>45352</v>
      </c>
      <c r="E955" t="s">
        <v>30</v>
      </c>
      <c r="F955">
        <v>17</v>
      </c>
      <c r="G955">
        <v>182</v>
      </c>
      <c r="H955">
        <v>19</v>
      </c>
      <c r="I955">
        <v>1233</v>
      </c>
      <c r="J955">
        <v>138</v>
      </c>
      <c r="K955">
        <v>196</v>
      </c>
      <c r="L955">
        <v>197</v>
      </c>
      <c r="M955">
        <v>1.43065693430656</v>
      </c>
      <c r="N955" t="s">
        <v>23</v>
      </c>
      <c r="O955">
        <v>0</v>
      </c>
    </row>
    <row r="956" spans="1:15" x14ac:dyDescent="0.35">
      <c r="A956">
        <v>955</v>
      </c>
      <c r="B956" t="s">
        <v>22</v>
      </c>
      <c r="C956" t="s">
        <v>16</v>
      </c>
      <c r="D956" s="1">
        <v>45511</v>
      </c>
      <c r="E956" t="s">
        <v>25</v>
      </c>
      <c r="F956">
        <v>16</v>
      </c>
      <c r="G956">
        <v>146</v>
      </c>
      <c r="H956">
        <v>1</v>
      </c>
      <c r="I956">
        <v>2053</v>
      </c>
      <c r="J956">
        <v>52</v>
      </c>
      <c r="K956">
        <v>195</v>
      </c>
      <c r="L956">
        <v>549</v>
      </c>
      <c r="M956">
        <v>1.3877252800779301</v>
      </c>
      <c r="N956" t="s">
        <v>23</v>
      </c>
      <c r="O956">
        <v>0</v>
      </c>
    </row>
    <row r="957" spans="1:15" x14ac:dyDescent="0.35">
      <c r="A957">
        <v>956</v>
      </c>
      <c r="B957" t="s">
        <v>15</v>
      </c>
      <c r="C957" t="s">
        <v>19</v>
      </c>
      <c r="D957" s="1">
        <v>45435</v>
      </c>
      <c r="E957" t="s">
        <v>27</v>
      </c>
      <c r="F957">
        <v>8</v>
      </c>
      <c r="G957">
        <v>260</v>
      </c>
      <c r="H957">
        <v>19</v>
      </c>
      <c r="I957">
        <v>1085</v>
      </c>
      <c r="J957">
        <v>525</v>
      </c>
      <c r="K957">
        <v>600</v>
      </c>
      <c r="L957">
        <v>501</v>
      </c>
      <c r="M957">
        <v>2.4986175115207301</v>
      </c>
      <c r="N957" t="s">
        <v>18</v>
      </c>
      <c r="O957">
        <v>1</v>
      </c>
    </row>
    <row r="958" spans="1:15" x14ac:dyDescent="0.35">
      <c r="A958">
        <v>957</v>
      </c>
      <c r="B958" t="s">
        <v>26</v>
      </c>
      <c r="C958" t="s">
        <v>24</v>
      </c>
      <c r="D958" s="1">
        <v>45325</v>
      </c>
      <c r="E958" t="s">
        <v>28</v>
      </c>
      <c r="F958">
        <v>21</v>
      </c>
      <c r="G958">
        <v>285</v>
      </c>
      <c r="H958">
        <v>14</v>
      </c>
      <c r="I958">
        <v>1421</v>
      </c>
      <c r="J958">
        <v>525</v>
      </c>
      <c r="K958">
        <v>399</v>
      </c>
      <c r="L958">
        <v>661</v>
      </c>
      <c r="M958">
        <v>2.1154116819141402</v>
      </c>
      <c r="N958" t="s">
        <v>21</v>
      </c>
      <c r="O958">
        <v>0</v>
      </c>
    </row>
    <row r="959" spans="1:15" x14ac:dyDescent="0.35">
      <c r="A959">
        <v>958</v>
      </c>
      <c r="B959" t="s">
        <v>26</v>
      </c>
      <c r="C959" t="s">
        <v>24</v>
      </c>
      <c r="D959" s="1">
        <v>45383</v>
      </c>
      <c r="E959" t="s">
        <v>29</v>
      </c>
      <c r="F959">
        <v>21</v>
      </c>
      <c r="G959">
        <v>262</v>
      </c>
      <c r="H959">
        <v>8</v>
      </c>
      <c r="I959">
        <v>2686</v>
      </c>
      <c r="J959">
        <v>734</v>
      </c>
      <c r="K959">
        <v>384</v>
      </c>
      <c r="L959">
        <v>539</v>
      </c>
      <c r="M959">
        <v>1.6169024571854</v>
      </c>
      <c r="N959" t="s">
        <v>21</v>
      </c>
      <c r="O959">
        <v>0</v>
      </c>
    </row>
    <row r="960" spans="1:15" x14ac:dyDescent="0.35">
      <c r="A960">
        <v>959</v>
      </c>
      <c r="B960" t="s">
        <v>15</v>
      </c>
      <c r="C960" t="s">
        <v>16</v>
      </c>
      <c r="D960" s="1">
        <v>45589</v>
      </c>
      <c r="E960" t="s">
        <v>27</v>
      </c>
      <c r="F960">
        <v>13</v>
      </c>
      <c r="G960">
        <v>123</v>
      </c>
      <c r="H960">
        <v>14</v>
      </c>
      <c r="I960">
        <v>3334</v>
      </c>
      <c r="J960">
        <v>658</v>
      </c>
      <c r="K960">
        <v>599</v>
      </c>
      <c r="L960">
        <v>666</v>
      </c>
      <c r="M960">
        <v>1.5767846430713801</v>
      </c>
      <c r="N960" t="s">
        <v>23</v>
      </c>
      <c r="O960">
        <v>0</v>
      </c>
    </row>
    <row r="961" spans="1:15" x14ac:dyDescent="0.35">
      <c r="A961">
        <v>960</v>
      </c>
      <c r="B961" t="s">
        <v>22</v>
      </c>
      <c r="C961" t="s">
        <v>19</v>
      </c>
      <c r="D961" s="1">
        <v>45412</v>
      </c>
      <c r="E961" t="s">
        <v>17</v>
      </c>
      <c r="F961">
        <v>11</v>
      </c>
      <c r="G961">
        <v>211</v>
      </c>
      <c r="H961">
        <v>8</v>
      </c>
      <c r="I961">
        <v>3293</v>
      </c>
      <c r="J961">
        <v>228</v>
      </c>
      <c r="K961">
        <v>315</v>
      </c>
      <c r="L961">
        <v>436</v>
      </c>
      <c r="M961">
        <v>1.29729729729729</v>
      </c>
      <c r="N961" t="s">
        <v>23</v>
      </c>
      <c r="O961">
        <v>0</v>
      </c>
    </row>
    <row r="962" spans="1:15" x14ac:dyDescent="0.35">
      <c r="A962">
        <v>961</v>
      </c>
      <c r="B962" t="s">
        <v>22</v>
      </c>
      <c r="C962" t="s">
        <v>19</v>
      </c>
      <c r="D962" s="1">
        <v>45573</v>
      </c>
      <c r="E962" t="s">
        <v>17</v>
      </c>
      <c r="F962">
        <v>17</v>
      </c>
      <c r="G962">
        <v>137</v>
      </c>
      <c r="H962">
        <v>18</v>
      </c>
      <c r="I962">
        <v>744</v>
      </c>
      <c r="J962">
        <v>142</v>
      </c>
      <c r="K962">
        <v>88</v>
      </c>
      <c r="L962">
        <v>303</v>
      </c>
      <c r="M962">
        <v>1.71639784946236</v>
      </c>
      <c r="N962" t="s">
        <v>21</v>
      </c>
      <c r="O962">
        <v>0</v>
      </c>
    </row>
    <row r="963" spans="1:15" x14ac:dyDescent="0.35">
      <c r="A963">
        <v>962</v>
      </c>
      <c r="B963" t="s">
        <v>22</v>
      </c>
      <c r="C963" t="s">
        <v>24</v>
      </c>
      <c r="D963" s="1">
        <v>45313</v>
      </c>
      <c r="E963" t="s">
        <v>29</v>
      </c>
      <c r="F963">
        <v>19</v>
      </c>
      <c r="G963">
        <v>229</v>
      </c>
      <c r="H963">
        <v>11</v>
      </c>
      <c r="I963">
        <v>3861</v>
      </c>
      <c r="J963">
        <v>529</v>
      </c>
      <c r="K963">
        <v>346</v>
      </c>
      <c r="L963">
        <v>437</v>
      </c>
      <c r="M963">
        <v>1.33980833980833</v>
      </c>
      <c r="N963" t="s">
        <v>23</v>
      </c>
      <c r="O963">
        <v>0</v>
      </c>
    </row>
    <row r="964" spans="1:15" x14ac:dyDescent="0.35">
      <c r="A964">
        <v>963</v>
      </c>
      <c r="B964" t="s">
        <v>15</v>
      </c>
      <c r="C964" t="s">
        <v>24</v>
      </c>
      <c r="D964" s="1">
        <v>45546</v>
      </c>
      <c r="E964" t="s">
        <v>25</v>
      </c>
      <c r="F964">
        <v>13</v>
      </c>
      <c r="G964">
        <v>155</v>
      </c>
      <c r="H964">
        <v>20</v>
      </c>
      <c r="I964">
        <v>2647</v>
      </c>
      <c r="J964">
        <v>284</v>
      </c>
      <c r="K964">
        <v>393</v>
      </c>
      <c r="L964">
        <v>26</v>
      </c>
      <c r="M964">
        <v>1.2655836796373201</v>
      </c>
      <c r="N964" t="s">
        <v>23</v>
      </c>
      <c r="O964">
        <v>0</v>
      </c>
    </row>
    <row r="965" spans="1:15" x14ac:dyDescent="0.35">
      <c r="A965">
        <v>964</v>
      </c>
      <c r="B965" t="s">
        <v>26</v>
      </c>
      <c r="C965" t="s">
        <v>19</v>
      </c>
      <c r="D965" s="1">
        <v>45330</v>
      </c>
      <c r="E965" t="s">
        <v>27</v>
      </c>
      <c r="F965">
        <v>8</v>
      </c>
      <c r="G965">
        <v>161</v>
      </c>
      <c r="H965">
        <v>7</v>
      </c>
      <c r="I965">
        <v>2991</v>
      </c>
      <c r="J965">
        <v>89</v>
      </c>
      <c r="K965">
        <v>303</v>
      </c>
      <c r="L965">
        <v>514</v>
      </c>
      <c r="M965">
        <v>1.3029087261785299</v>
      </c>
      <c r="N965" t="s">
        <v>23</v>
      </c>
      <c r="O965">
        <v>0</v>
      </c>
    </row>
    <row r="966" spans="1:15" x14ac:dyDescent="0.35">
      <c r="A966">
        <v>965</v>
      </c>
      <c r="B966" t="s">
        <v>26</v>
      </c>
      <c r="C966" t="s">
        <v>16</v>
      </c>
      <c r="D966" s="1">
        <v>45342</v>
      </c>
      <c r="E966" t="s">
        <v>17</v>
      </c>
      <c r="F966">
        <v>16</v>
      </c>
      <c r="G966">
        <v>120</v>
      </c>
      <c r="H966">
        <v>10</v>
      </c>
      <c r="I966">
        <v>1021</v>
      </c>
      <c r="J966">
        <v>78</v>
      </c>
      <c r="K966">
        <v>370</v>
      </c>
      <c r="L966">
        <v>40</v>
      </c>
      <c r="M966">
        <v>1.47796278158667</v>
      </c>
      <c r="N966" t="s">
        <v>23</v>
      </c>
      <c r="O966">
        <v>0</v>
      </c>
    </row>
    <row r="967" spans="1:15" x14ac:dyDescent="0.35">
      <c r="A967">
        <v>966</v>
      </c>
      <c r="B967" t="s">
        <v>26</v>
      </c>
      <c r="C967" t="s">
        <v>19</v>
      </c>
      <c r="D967" s="1">
        <v>45420</v>
      </c>
      <c r="E967" t="s">
        <v>25</v>
      </c>
      <c r="F967">
        <v>10</v>
      </c>
      <c r="G967">
        <v>298</v>
      </c>
      <c r="H967">
        <v>8</v>
      </c>
      <c r="I967">
        <v>2529</v>
      </c>
      <c r="J967">
        <v>768</v>
      </c>
      <c r="K967">
        <v>283</v>
      </c>
      <c r="L967">
        <v>196</v>
      </c>
      <c r="M967">
        <v>1.4930802688809801</v>
      </c>
      <c r="N967" t="s">
        <v>23</v>
      </c>
      <c r="O967">
        <v>0</v>
      </c>
    </row>
    <row r="968" spans="1:15" x14ac:dyDescent="0.35">
      <c r="A968">
        <v>967</v>
      </c>
      <c r="B968" t="s">
        <v>22</v>
      </c>
      <c r="C968" t="s">
        <v>19</v>
      </c>
      <c r="D968" s="1">
        <v>45296</v>
      </c>
      <c r="E968" t="s">
        <v>30</v>
      </c>
      <c r="F968">
        <v>6</v>
      </c>
      <c r="G968">
        <v>261</v>
      </c>
      <c r="H968">
        <v>20</v>
      </c>
      <c r="I968">
        <v>2503</v>
      </c>
      <c r="J968">
        <v>293</v>
      </c>
      <c r="K968">
        <v>356</v>
      </c>
      <c r="L968">
        <v>414</v>
      </c>
      <c r="M968">
        <v>1.4246903715541299</v>
      </c>
      <c r="N968" t="s">
        <v>23</v>
      </c>
      <c r="O968">
        <v>0</v>
      </c>
    </row>
    <row r="969" spans="1:15" x14ac:dyDescent="0.35">
      <c r="A969">
        <v>968</v>
      </c>
      <c r="B969" t="s">
        <v>26</v>
      </c>
      <c r="C969" t="s">
        <v>19</v>
      </c>
      <c r="D969" s="1">
        <v>45554</v>
      </c>
      <c r="E969" t="s">
        <v>27</v>
      </c>
      <c r="F969">
        <v>12</v>
      </c>
      <c r="G969">
        <v>262</v>
      </c>
      <c r="H969">
        <v>7</v>
      </c>
      <c r="I969">
        <v>1272</v>
      </c>
      <c r="J969">
        <v>412</v>
      </c>
      <c r="K969">
        <v>235</v>
      </c>
      <c r="L969">
        <v>233</v>
      </c>
      <c r="M969">
        <v>1.6918238993710599</v>
      </c>
      <c r="N969" t="s">
        <v>21</v>
      </c>
      <c r="O969">
        <v>0</v>
      </c>
    </row>
    <row r="970" spans="1:15" x14ac:dyDescent="0.35">
      <c r="A970">
        <v>969</v>
      </c>
      <c r="B970" t="s">
        <v>22</v>
      </c>
      <c r="C970" t="s">
        <v>16</v>
      </c>
      <c r="D970" s="1">
        <v>45556</v>
      </c>
      <c r="E970" t="s">
        <v>28</v>
      </c>
      <c r="F970">
        <v>16</v>
      </c>
      <c r="G970">
        <v>116</v>
      </c>
      <c r="H970">
        <v>13</v>
      </c>
      <c r="I970">
        <v>4858</v>
      </c>
      <c r="J970">
        <v>570</v>
      </c>
      <c r="K970">
        <v>481</v>
      </c>
      <c r="L970">
        <v>473</v>
      </c>
      <c r="M970">
        <v>1.31370934540963</v>
      </c>
      <c r="N970" t="s">
        <v>23</v>
      </c>
      <c r="O970">
        <v>0</v>
      </c>
    </row>
    <row r="971" spans="1:15" x14ac:dyDescent="0.35">
      <c r="A971">
        <v>970</v>
      </c>
      <c r="B971" t="s">
        <v>15</v>
      </c>
      <c r="C971" t="s">
        <v>24</v>
      </c>
      <c r="D971" s="1">
        <v>45505</v>
      </c>
      <c r="E971" t="s">
        <v>27</v>
      </c>
      <c r="F971">
        <v>10</v>
      </c>
      <c r="G971">
        <v>85</v>
      </c>
      <c r="H971">
        <v>9</v>
      </c>
      <c r="I971">
        <v>1766</v>
      </c>
      <c r="J971">
        <v>454</v>
      </c>
      <c r="K971">
        <v>462</v>
      </c>
      <c r="L971">
        <v>572</v>
      </c>
      <c r="M971">
        <v>1.8425821064552601</v>
      </c>
      <c r="N971" t="s">
        <v>21</v>
      </c>
      <c r="O971">
        <v>0</v>
      </c>
    </row>
    <row r="972" spans="1:15" x14ac:dyDescent="0.35">
      <c r="A972">
        <v>971</v>
      </c>
      <c r="B972" t="s">
        <v>15</v>
      </c>
      <c r="C972" t="s">
        <v>24</v>
      </c>
      <c r="D972" s="1">
        <v>45296</v>
      </c>
      <c r="E972" t="s">
        <v>30</v>
      </c>
      <c r="F972">
        <v>19</v>
      </c>
      <c r="G972">
        <v>226</v>
      </c>
      <c r="H972">
        <v>17</v>
      </c>
      <c r="I972">
        <v>4144</v>
      </c>
      <c r="J972">
        <v>679</v>
      </c>
      <c r="K972">
        <v>365</v>
      </c>
      <c r="L972">
        <v>348</v>
      </c>
      <c r="M972">
        <v>1.3359073359073299</v>
      </c>
      <c r="N972" t="s">
        <v>23</v>
      </c>
      <c r="O972">
        <v>0</v>
      </c>
    </row>
    <row r="973" spans="1:15" x14ac:dyDescent="0.35">
      <c r="A973">
        <v>972</v>
      </c>
      <c r="B973" t="s">
        <v>15</v>
      </c>
      <c r="C973" t="s">
        <v>16</v>
      </c>
      <c r="D973" s="1">
        <v>45445</v>
      </c>
      <c r="E973" t="s">
        <v>20</v>
      </c>
      <c r="F973">
        <v>10</v>
      </c>
      <c r="G973">
        <v>189</v>
      </c>
      <c r="H973">
        <v>18</v>
      </c>
      <c r="I973">
        <v>2721</v>
      </c>
      <c r="J973">
        <v>606</v>
      </c>
      <c r="K973">
        <v>25</v>
      </c>
      <c r="L973">
        <v>582</v>
      </c>
      <c r="M973">
        <v>1.44579198823961</v>
      </c>
      <c r="N973" t="s">
        <v>23</v>
      </c>
      <c r="O973">
        <v>0</v>
      </c>
    </row>
    <row r="974" spans="1:15" x14ac:dyDescent="0.35">
      <c r="A974">
        <v>973</v>
      </c>
      <c r="B974" t="s">
        <v>15</v>
      </c>
      <c r="C974" t="s">
        <v>19</v>
      </c>
      <c r="D974" s="1">
        <v>45585</v>
      </c>
      <c r="E974" t="s">
        <v>20</v>
      </c>
      <c r="F974">
        <v>18</v>
      </c>
      <c r="G974">
        <v>116</v>
      </c>
      <c r="H974">
        <v>15</v>
      </c>
      <c r="I974">
        <v>3252</v>
      </c>
      <c r="J974">
        <v>395</v>
      </c>
      <c r="K974">
        <v>211</v>
      </c>
      <c r="L974">
        <v>401</v>
      </c>
      <c r="M974">
        <v>1.30965559655596</v>
      </c>
      <c r="N974" t="s">
        <v>23</v>
      </c>
      <c r="O974">
        <v>0</v>
      </c>
    </row>
    <row r="975" spans="1:15" x14ac:dyDescent="0.35">
      <c r="A975">
        <v>974</v>
      </c>
      <c r="B975" t="s">
        <v>22</v>
      </c>
      <c r="C975" t="s">
        <v>16</v>
      </c>
      <c r="D975" s="1">
        <v>45347</v>
      </c>
      <c r="E975" t="s">
        <v>20</v>
      </c>
      <c r="F975">
        <v>11</v>
      </c>
      <c r="G975">
        <v>73</v>
      </c>
      <c r="H975">
        <v>17</v>
      </c>
      <c r="I975">
        <v>2743</v>
      </c>
      <c r="J975">
        <v>588</v>
      </c>
      <c r="K975">
        <v>464</v>
      </c>
      <c r="L975">
        <v>655</v>
      </c>
      <c r="M975">
        <v>1.62231133795114</v>
      </c>
      <c r="N975" t="s">
        <v>21</v>
      </c>
      <c r="O975">
        <v>0</v>
      </c>
    </row>
    <row r="976" spans="1:15" x14ac:dyDescent="0.35">
      <c r="A976">
        <v>975</v>
      </c>
      <c r="B976" t="s">
        <v>15</v>
      </c>
      <c r="C976" t="s">
        <v>16</v>
      </c>
      <c r="D976" s="1">
        <v>45382</v>
      </c>
      <c r="E976" t="s">
        <v>20</v>
      </c>
      <c r="F976">
        <v>8</v>
      </c>
      <c r="G976">
        <v>217</v>
      </c>
      <c r="H976">
        <v>9</v>
      </c>
      <c r="I976">
        <v>312</v>
      </c>
      <c r="J976">
        <v>710</v>
      </c>
      <c r="K976">
        <v>502</v>
      </c>
      <c r="L976">
        <v>28</v>
      </c>
      <c r="M976">
        <v>4.97435897435897</v>
      </c>
      <c r="N976" t="s">
        <v>18</v>
      </c>
      <c r="O976">
        <v>0</v>
      </c>
    </row>
    <row r="977" spans="1:15" x14ac:dyDescent="0.35">
      <c r="A977">
        <v>976</v>
      </c>
      <c r="B977" t="s">
        <v>22</v>
      </c>
      <c r="C977" t="s">
        <v>16</v>
      </c>
      <c r="D977" s="1">
        <v>45397</v>
      </c>
      <c r="E977" t="s">
        <v>29</v>
      </c>
      <c r="F977">
        <v>17</v>
      </c>
      <c r="G977">
        <v>285</v>
      </c>
      <c r="H977">
        <v>0</v>
      </c>
      <c r="I977">
        <v>1959</v>
      </c>
      <c r="J977">
        <v>303</v>
      </c>
      <c r="K977">
        <v>538</v>
      </c>
      <c r="L977">
        <v>72</v>
      </c>
      <c r="M977">
        <v>1.4660541092393999</v>
      </c>
      <c r="N977" t="s">
        <v>23</v>
      </c>
      <c r="O977">
        <v>0</v>
      </c>
    </row>
    <row r="978" spans="1:15" x14ac:dyDescent="0.35">
      <c r="A978">
        <v>977</v>
      </c>
      <c r="B978" t="s">
        <v>15</v>
      </c>
      <c r="C978" t="s">
        <v>16</v>
      </c>
      <c r="D978" s="1">
        <v>45379</v>
      </c>
      <c r="E978" t="s">
        <v>27</v>
      </c>
      <c r="F978">
        <v>23</v>
      </c>
      <c r="G978">
        <v>234</v>
      </c>
      <c r="H978">
        <v>15</v>
      </c>
      <c r="I978">
        <v>2726</v>
      </c>
      <c r="J978">
        <v>425</v>
      </c>
      <c r="K978">
        <v>402</v>
      </c>
      <c r="L978">
        <v>161</v>
      </c>
      <c r="M978">
        <v>1.3624358033749</v>
      </c>
      <c r="N978" t="s">
        <v>23</v>
      </c>
      <c r="O978">
        <v>0</v>
      </c>
    </row>
    <row r="979" spans="1:15" x14ac:dyDescent="0.35">
      <c r="A979">
        <v>978</v>
      </c>
      <c r="B979" t="s">
        <v>22</v>
      </c>
      <c r="C979" t="s">
        <v>24</v>
      </c>
      <c r="D979" s="1">
        <v>45327</v>
      </c>
      <c r="E979" t="s">
        <v>29</v>
      </c>
      <c r="F979">
        <v>21</v>
      </c>
      <c r="G979">
        <v>101</v>
      </c>
      <c r="H979">
        <v>19</v>
      </c>
      <c r="I979">
        <v>3236</v>
      </c>
      <c r="J979">
        <v>216</v>
      </c>
      <c r="K979">
        <v>135</v>
      </c>
      <c r="L979">
        <v>211</v>
      </c>
      <c r="M979">
        <v>1.1736711990111199</v>
      </c>
      <c r="N979" t="s">
        <v>23</v>
      </c>
      <c r="O979">
        <v>0</v>
      </c>
    </row>
    <row r="980" spans="1:15" x14ac:dyDescent="0.35">
      <c r="A980">
        <v>979</v>
      </c>
      <c r="B980" t="s">
        <v>26</v>
      </c>
      <c r="C980" t="s">
        <v>19</v>
      </c>
      <c r="D980" s="1">
        <v>45586</v>
      </c>
      <c r="E980" t="s">
        <v>29</v>
      </c>
      <c r="F980">
        <v>20</v>
      </c>
      <c r="G980">
        <v>161</v>
      </c>
      <c r="H980">
        <v>6</v>
      </c>
      <c r="I980">
        <v>2592</v>
      </c>
      <c r="J980">
        <v>606</v>
      </c>
      <c r="K980">
        <v>209</v>
      </c>
      <c r="L980">
        <v>515</v>
      </c>
      <c r="M980">
        <v>1.51311728395061</v>
      </c>
      <c r="N980" t="s">
        <v>23</v>
      </c>
      <c r="O980">
        <v>0</v>
      </c>
    </row>
    <row r="981" spans="1:15" x14ac:dyDescent="0.35">
      <c r="A981">
        <v>980</v>
      </c>
      <c r="B981" t="s">
        <v>26</v>
      </c>
      <c r="C981" t="s">
        <v>16</v>
      </c>
      <c r="D981" s="1">
        <v>45295</v>
      </c>
      <c r="E981" t="s">
        <v>27</v>
      </c>
      <c r="F981">
        <v>22</v>
      </c>
      <c r="G981">
        <v>188</v>
      </c>
      <c r="H981">
        <v>18</v>
      </c>
      <c r="I981">
        <v>1218</v>
      </c>
      <c r="J981">
        <v>461</v>
      </c>
      <c r="K981">
        <v>67</v>
      </c>
      <c r="L981">
        <v>409</v>
      </c>
      <c r="M981">
        <v>1.7692939244663299</v>
      </c>
      <c r="N981" t="s">
        <v>21</v>
      </c>
      <c r="O981">
        <v>0</v>
      </c>
    </row>
    <row r="982" spans="1:15" x14ac:dyDescent="0.35">
      <c r="A982">
        <v>981</v>
      </c>
      <c r="B982" t="s">
        <v>26</v>
      </c>
      <c r="C982" t="s">
        <v>16</v>
      </c>
      <c r="D982" s="1">
        <v>45543</v>
      </c>
      <c r="E982" t="s">
        <v>20</v>
      </c>
      <c r="F982">
        <v>15</v>
      </c>
      <c r="G982">
        <v>253</v>
      </c>
      <c r="H982">
        <v>11</v>
      </c>
      <c r="I982">
        <v>3819</v>
      </c>
      <c r="J982">
        <v>478</v>
      </c>
      <c r="K982">
        <v>591</v>
      </c>
      <c r="L982">
        <v>41</v>
      </c>
      <c r="M982">
        <v>1.29065200314218</v>
      </c>
      <c r="N982" t="s">
        <v>23</v>
      </c>
      <c r="O982">
        <v>0</v>
      </c>
    </row>
    <row r="983" spans="1:15" x14ac:dyDescent="0.35">
      <c r="A983">
        <v>982</v>
      </c>
      <c r="B983" t="s">
        <v>15</v>
      </c>
      <c r="C983" t="s">
        <v>16</v>
      </c>
      <c r="D983" s="1">
        <v>45444</v>
      </c>
      <c r="E983" t="s">
        <v>28</v>
      </c>
      <c r="F983">
        <v>19</v>
      </c>
      <c r="G983">
        <v>254</v>
      </c>
      <c r="H983">
        <v>12</v>
      </c>
      <c r="I983">
        <v>3253</v>
      </c>
      <c r="J983">
        <v>632</v>
      </c>
      <c r="K983">
        <v>181</v>
      </c>
      <c r="L983">
        <v>426</v>
      </c>
      <c r="M983">
        <v>1.38087918844143</v>
      </c>
      <c r="N983" t="s">
        <v>23</v>
      </c>
      <c r="O983">
        <v>0</v>
      </c>
    </row>
    <row r="984" spans="1:15" x14ac:dyDescent="0.35">
      <c r="A984">
        <v>983</v>
      </c>
      <c r="B984" t="s">
        <v>15</v>
      </c>
      <c r="C984" t="s">
        <v>16</v>
      </c>
      <c r="D984" s="1">
        <v>45385</v>
      </c>
      <c r="E984" t="s">
        <v>25</v>
      </c>
      <c r="F984">
        <v>14</v>
      </c>
      <c r="G984">
        <v>295</v>
      </c>
      <c r="H984">
        <v>9</v>
      </c>
      <c r="I984">
        <v>4708</v>
      </c>
      <c r="J984">
        <v>102</v>
      </c>
      <c r="K984">
        <v>404</v>
      </c>
      <c r="L984">
        <v>45</v>
      </c>
      <c r="M984">
        <v>1.11703483432455</v>
      </c>
      <c r="N984" t="s">
        <v>23</v>
      </c>
      <c r="O984">
        <v>0</v>
      </c>
    </row>
    <row r="985" spans="1:15" x14ac:dyDescent="0.35">
      <c r="A985">
        <v>984</v>
      </c>
      <c r="B985" t="s">
        <v>15</v>
      </c>
      <c r="C985" t="s">
        <v>24</v>
      </c>
      <c r="D985" s="1">
        <v>45326</v>
      </c>
      <c r="E985" t="s">
        <v>20</v>
      </c>
      <c r="F985">
        <v>8</v>
      </c>
      <c r="G985">
        <v>73</v>
      </c>
      <c r="H985">
        <v>16</v>
      </c>
      <c r="I985">
        <v>1829</v>
      </c>
      <c r="J985">
        <v>510</v>
      </c>
      <c r="K985">
        <v>423</v>
      </c>
      <c r="L985">
        <v>567</v>
      </c>
      <c r="M985">
        <v>1.8201202843083599</v>
      </c>
      <c r="N985" t="s">
        <v>21</v>
      </c>
      <c r="O985">
        <v>0</v>
      </c>
    </row>
    <row r="986" spans="1:15" x14ac:dyDescent="0.35">
      <c r="A986">
        <v>985</v>
      </c>
      <c r="B986" t="s">
        <v>15</v>
      </c>
      <c r="C986" t="s">
        <v>19</v>
      </c>
      <c r="D986" s="1">
        <v>45458</v>
      </c>
      <c r="E986" t="s">
        <v>28</v>
      </c>
      <c r="F986">
        <v>7</v>
      </c>
      <c r="G986">
        <v>256</v>
      </c>
      <c r="H986">
        <v>0</v>
      </c>
      <c r="I986">
        <v>3409</v>
      </c>
      <c r="J986">
        <v>466</v>
      </c>
      <c r="K986">
        <v>170</v>
      </c>
      <c r="L986">
        <v>259</v>
      </c>
      <c r="M986">
        <v>1.2625403344089099</v>
      </c>
      <c r="N986" t="s">
        <v>23</v>
      </c>
      <c r="O986">
        <v>0</v>
      </c>
    </row>
    <row r="987" spans="1:15" x14ac:dyDescent="0.35">
      <c r="A987">
        <v>986</v>
      </c>
      <c r="B987" t="s">
        <v>15</v>
      </c>
      <c r="C987" t="s">
        <v>24</v>
      </c>
      <c r="D987" s="1">
        <v>45329</v>
      </c>
      <c r="E987" t="s">
        <v>25</v>
      </c>
      <c r="F987">
        <v>7</v>
      </c>
      <c r="G987">
        <v>25</v>
      </c>
      <c r="H987">
        <v>8</v>
      </c>
      <c r="I987">
        <v>3833</v>
      </c>
      <c r="J987">
        <v>395</v>
      </c>
      <c r="K987">
        <v>353</v>
      </c>
      <c r="L987">
        <v>409</v>
      </c>
      <c r="M987">
        <v>1.3018523349856499</v>
      </c>
      <c r="N987" t="s">
        <v>23</v>
      </c>
      <c r="O987">
        <v>0</v>
      </c>
    </row>
    <row r="988" spans="1:15" x14ac:dyDescent="0.35">
      <c r="A988">
        <v>987</v>
      </c>
      <c r="B988" t="s">
        <v>22</v>
      </c>
      <c r="C988" t="s">
        <v>16</v>
      </c>
      <c r="D988" s="1">
        <v>45350</v>
      </c>
      <c r="E988" t="s">
        <v>25</v>
      </c>
      <c r="F988">
        <v>8</v>
      </c>
      <c r="G988">
        <v>300</v>
      </c>
      <c r="H988">
        <v>7</v>
      </c>
      <c r="I988">
        <v>1168</v>
      </c>
      <c r="J988">
        <v>339</v>
      </c>
      <c r="K988">
        <v>477</v>
      </c>
      <c r="L988">
        <v>497</v>
      </c>
      <c r="M988">
        <v>2.1241438356164299</v>
      </c>
      <c r="N988" t="s">
        <v>21</v>
      </c>
      <c r="O988">
        <v>0</v>
      </c>
    </row>
    <row r="989" spans="1:15" x14ac:dyDescent="0.35">
      <c r="A989">
        <v>988</v>
      </c>
      <c r="B989" t="s">
        <v>15</v>
      </c>
      <c r="C989" t="s">
        <v>16</v>
      </c>
      <c r="D989" s="1">
        <v>45516</v>
      </c>
      <c r="E989" t="s">
        <v>29</v>
      </c>
      <c r="F989">
        <v>9</v>
      </c>
      <c r="G989">
        <v>110</v>
      </c>
      <c r="H989">
        <v>9</v>
      </c>
      <c r="I989">
        <v>1198</v>
      </c>
      <c r="J989">
        <v>487</v>
      </c>
      <c r="K989">
        <v>287</v>
      </c>
      <c r="L989">
        <v>166</v>
      </c>
      <c r="M989">
        <v>1.7846410684474101</v>
      </c>
      <c r="N989" t="s">
        <v>21</v>
      </c>
      <c r="O989">
        <v>0</v>
      </c>
    </row>
    <row r="990" spans="1:15" x14ac:dyDescent="0.35">
      <c r="A990">
        <v>989</v>
      </c>
      <c r="B990" t="s">
        <v>15</v>
      </c>
      <c r="C990" t="s">
        <v>19</v>
      </c>
      <c r="D990" s="1">
        <v>45355</v>
      </c>
      <c r="E990" t="s">
        <v>29</v>
      </c>
      <c r="F990">
        <v>6</v>
      </c>
      <c r="G990">
        <v>159</v>
      </c>
      <c r="H990">
        <v>4</v>
      </c>
      <c r="I990">
        <v>4429</v>
      </c>
      <c r="J990">
        <v>764</v>
      </c>
      <c r="K990">
        <v>402</v>
      </c>
      <c r="L990">
        <v>173</v>
      </c>
      <c r="M990">
        <v>1.30232558139534</v>
      </c>
      <c r="N990" t="s">
        <v>23</v>
      </c>
      <c r="O990">
        <v>0</v>
      </c>
    </row>
    <row r="991" spans="1:15" x14ac:dyDescent="0.35">
      <c r="A991">
        <v>990</v>
      </c>
      <c r="B991" t="s">
        <v>26</v>
      </c>
      <c r="C991" t="s">
        <v>19</v>
      </c>
      <c r="D991" s="1">
        <v>45517</v>
      </c>
      <c r="E991" t="s">
        <v>17</v>
      </c>
      <c r="F991">
        <v>12</v>
      </c>
      <c r="G991">
        <v>246</v>
      </c>
      <c r="H991">
        <v>1</v>
      </c>
      <c r="I991">
        <v>2983</v>
      </c>
      <c r="J991">
        <v>187</v>
      </c>
      <c r="K991">
        <v>223</v>
      </c>
      <c r="L991">
        <v>36</v>
      </c>
      <c r="M991">
        <v>1.1495139121689499</v>
      </c>
      <c r="N991" t="s">
        <v>23</v>
      </c>
      <c r="O991">
        <v>0</v>
      </c>
    </row>
    <row r="992" spans="1:15" x14ac:dyDescent="0.35">
      <c r="A992">
        <v>991</v>
      </c>
      <c r="B992" t="s">
        <v>15</v>
      </c>
      <c r="C992" t="s">
        <v>19</v>
      </c>
      <c r="D992" s="1">
        <v>45559</v>
      </c>
      <c r="E992" t="s">
        <v>17</v>
      </c>
      <c r="F992">
        <v>6</v>
      </c>
      <c r="G992">
        <v>44</v>
      </c>
      <c r="H992">
        <v>12</v>
      </c>
      <c r="I992">
        <v>892</v>
      </c>
      <c r="J992">
        <v>404</v>
      </c>
      <c r="K992">
        <v>317</v>
      </c>
      <c r="L992">
        <v>455</v>
      </c>
      <c r="M992">
        <v>2.3183856502242102</v>
      </c>
      <c r="N992" t="s">
        <v>21</v>
      </c>
      <c r="O992">
        <v>0</v>
      </c>
    </row>
    <row r="993" spans="1:15" x14ac:dyDescent="0.35">
      <c r="A993">
        <v>992</v>
      </c>
      <c r="B993" t="s">
        <v>15</v>
      </c>
      <c r="C993" t="s">
        <v>16</v>
      </c>
      <c r="D993" s="1">
        <v>45395</v>
      </c>
      <c r="E993" t="s">
        <v>28</v>
      </c>
      <c r="F993">
        <v>19</v>
      </c>
      <c r="G993">
        <v>34</v>
      </c>
      <c r="H993">
        <v>0</v>
      </c>
      <c r="I993">
        <v>2095</v>
      </c>
      <c r="J993">
        <v>388</v>
      </c>
      <c r="K993">
        <v>246</v>
      </c>
      <c r="L993">
        <v>205</v>
      </c>
      <c r="M993">
        <v>1.4004773269689701</v>
      </c>
      <c r="N993" t="s">
        <v>23</v>
      </c>
      <c r="O993">
        <v>0</v>
      </c>
    </row>
    <row r="994" spans="1:15" x14ac:dyDescent="0.35">
      <c r="A994">
        <v>993</v>
      </c>
      <c r="B994" t="s">
        <v>15</v>
      </c>
      <c r="C994" t="s">
        <v>19</v>
      </c>
      <c r="D994" s="1">
        <v>45464</v>
      </c>
      <c r="E994" t="s">
        <v>30</v>
      </c>
      <c r="F994">
        <v>11</v>
      </c>
      <c r="G994">
        <v>105</v>
      </c>
      <c r="H994">
        <v>1</v>
      </c>
      <c r="I994">
        <v>1624</v>
      </c>
      <c r="J994">
        <v>701</v>
      </c>
      <c r="K994">
        <v>66</v>
      </c>
      <c r="L994">
        <v>226</v>
      </c>
      <c r="M994">
        <v>1.61145320197044</v>
      </c>
      <c r="N994" t="s">
        <v>21</v>
      </c>
      <c r="O994">
        <v>0</v>
      </c>
    </row>
    <row r="995" spans="1:15" x14ac:dyDescent="0.35">
      <c r="A995">
        <v>994</v>
      </c>
      <c r="B995" t="s">
        <v>26</v>
      </c>
      <c r="C995" t="s">
        <v>19</v>
      </c>
      <c r="D995" s="1">
        <v>45504</v>
      </c>
      <c r="E995" t="s">
        <v>25</v>
      </c>
      <c r="F995">
        <v>12</v>
      </c>
      <c r="G995">
        <v>126</v>
      </c>
      <c r="H995">
        <v>17</v>
      </c>
      <c r="I995">
        <v>4248</v>
      </c>
      <c r="J995">
        <v>115</v>
      </c>
      <c r="K995">
        <v>336</v>
      </c>
      <c r="L995">
        <v>331</v>
      </c>
      <c r="M995">
        <v>1.1840866290018801</v>
      </c>
      <c r="N995" t="s">
        <v>23</v>
      </c>
      <c r="O995">
        <v>0</v>
      </c>
    </row>
    <row r="996" spans="1:15" x14ac:dyDescent="0.35">
      <c r="A996">
        <v>995</v>
      </c>
      <c r="B996" t="s">
        <v>15</v>
      </c>
      <c r="C996" t="s">
        <v>24</v>
      </c>
      <c r="D996" s="1">
        <v>45494</v>
      </c>
      <c r="E996" t="s">
        <v>20</v>
      </c>
      <c r="F996">
        <v>16</v>
      </c>
      <c r="G996">
        <v>108</v>
      </c>
      <c r="H996">
        <v>0</v>
      </c>
      <c r="I996">
        <v>3555</v>
      </c>
      <c r="J996">
        <v>128</v>
      </c>
      <c r="K996">
        <v>239</v>
      </c>
      <c r="L996">
        <v>219</v>
      </c>
      <c r="M996">
        <v>1.1648382559774899</v>
      </c>
      <c r="N996" t="s">
        <v>23</v>
      </c>
      <c r="O996">
        <v>0</v>
      </c>
    </row>
    <row r="997" spans="1:15" x14ac:dyDescent="0.35">
      <c r="A997">
        <v>996</v>
      </c>
      <c r="B997" t="s">
        <v>22</v>
      </c>
      <c r="C997" t="s">
        <v>16</v>
      </c>
      <c r="D997" s="1">
        <v>45497</v>
      </c>
      <c r="E997" t="s">
        <v>25</v>
      </c>
      <c r="F997">
        <v>8</v>
      </c>
      <c r="G997">
        <v>162</v>
      </c>
      <c r="H997">
        <v>20</v>
      </c>
      <c r="I997">
        <v>2640</v>
      </c>
      <c r="J997">
        <v>17</v>
      </c>
      <c r="K997">
        <v>400</v>
      </c>
      <c r="L997">
        <v>218</v>
      </c>
      <c r="M997">
        <v>1.2405303030303001</v>
      </c>
      <c r="N997" t="s">
        <v>23</v>
      </c>
      <c r="O997">
        <v>0</v>
      </c>
    </row>
    <row r="998" spans="1:15" x14ac:dyDescent="0.35">
      <c r="A998">
        <v>997</v>
      </c>
      <c r="B998" t="s">
        <v>22</v>
      </c>
      <c r="C998" t="s">
        <v>19</v>
      </c>
      <c r="D998" s="1">
        <v>45480</v>
      </c>
      <c r="E998" t="s">
        <v>20</v>
      </c>
      <c r="F998">
        <v>21</v>
      </c>
      <c r="G998">
        <v>72</v>
      </c>
      <c r="H998">
        <v>17</v>
      </c>
      <c r="I998">
        <v>409</v>
      </c>
      <c r="J998">
        <v>73</v>
      </c>
      <c r="K998">
        <v>225</v>
      </c>
      <c r="L998">
        <v>421</v>
      </c>
      <c r="M998">
        <v>2.75794621026894</v>
      </c>
      <c r="N998" t="s">
        <v>18</v>
      </c>
      <c r="O998">
        <v>0</v>
      </c>
    </row>
    <row r="999" spans="1:15" x14ac:dyDescent="0.35">
      <c r="A999">
        <v>998</v>
      </c>
      <c r="B999" t="s">
        <v>22</v>
      </c>
      <c r="C999" t="s">
        <v>19</v>
      </c>
      <c r="D999" s="1">
        <v>45583</v>
      </c>
      <c r="E999" t="s">
        <v>30</v>
      </c>
      <c r="F999">
        <v>18</v>
      </c>
      <c r="G999">
        <v>88</v>
      </c>
      <c r="H999">
        <v>10</v>
      </c>
      <c r="I999">
        <v>1454</v>
      </c>
      <c r="J999">
        <v>262</v>
      </c>
      <c r="K999">
        <v>99</v>
      </c>
      <c r="L999">
        <v>615</v>
      </c>
      <c r="M999">
        <v>1.67125171939477</v>
      </c>
      <c r="N999" t="s">
        <v>21</v>
      </c>
      <c r="O999">
        <v>0</v>
      </c>
    </row>
    <row r="1000" spans="1:15" x14ac:dyDescent="0.35">
      <c r="A1000">
        <v>999</v>
      </c>
      <c r="B1000" t="s">
        <v>22</v>
      </c>
      <c r="C1000" t="s">
        <v>16</v>
      </c>
      <c r="D1000" s="1">
        <v>45381</v>
      </c>
      <c r="E1000" t="s">
        <v>28</v>
      </c>
      <c r="F1000">
        <v>20</v>
      </c>
      <c r="G1000">
        <v>215</v>
      </c>
      <c r="H1000">
        <v>16</v>
      </c>
      <c r="I1000">
        <v>2654</v>
      </c>
      <c r="J1000">
        <v>687</v>
      </c>
      <c r="K1000">
        <v>495</v>
      </c>
      <c r="L1000">
        <v>70</v>
      </c>
      <c r="M1000">
        <v>1.4717407686510899</v>
      </c>
      <c r="N1000" t="s">
        <v>23</v>
      </c>
      <c r="O1000">
        <v>0</v>
      </c>
    </row>
    <row r="1001" spans="1:15" x14ac:dyDescent="0.35">
      <c r="A1001">
        <v>1000</v>
      </c>
      <c r="B1001" t="s">
        <v>15</v>
      </c>
      <c r="C1001" t="s">
        <v>19</v>
      </c>
      <c r="D1001" s="1">
        <v>45411</v>
      </c>
      <c r="E1001" t="s">
        <v>29</v>
      </c>
      <c r="F1001">
        <v>9</v>
      </c>
      <c r="G1001">
        <v>178</v>
      </c>
      <c r="H1001">
        <v>7</v>
      </c>
      <c r="I1001">
        <v>4174</v>
      </c>
      <c r="J1001">
        <v>606</v>
      </c>
      <c r="K1001">
        <v>15</v>
      </c>
      <c r="L1001">
        <v>239</v>
      </c>
      <c r="M1001">
        <v>1.2060373742213699</v>
      </c>
      <c r="N1001" t="s">
        <v>23</v>
      </c>
      <c r="O1001">
        <v>0</v>
      </c>
    </row>
    <row r="1002" spans="1:15" x14ac:dyDescent="0.35">
      <c r="A1002">
        <v>1001</v>
      </c>
      <c r="B1002" t="s">
        <v>15</v>
      </c>
      <c r="C1002" t="s">
        <v>24</v>
      </c>
      <c r="D1002" s="1">
        <v>45511</v>
      </c>
      <c r="E1002" t="s">
        <v>25</v>
      </c>
      <c r="F1002">
        <v>21</v>
      </c>
      <c r="G1002">
        <v>171</v>
      </c>
      <c r="H1002">
        <v>6</v>
      </c>
      <c r="I1002">
        <v>2045</v>
      </c>
      <c r="J1002">
        <v>639</v>
      </c>
      <c r="K1002">
        <v>83</v>
      </c>
      <c r="L1002">
        <v>62</v>
      </c>
      <c r="M1002">
        <v>1.38337408312958</v>
      </c>
      <c r="N1002" t="s">
        <v>23</v>
      </c>
      <c r="O1002">
        <v>0</v>
      </c>
    </row>
    <row r="1003" spans="1:15" x14ac:dyDescent="0.35">
      <c r="A1003">
        <v>1002</v>
      </c>
      <c r="B1003" t="s">
        <v>26</v>
      </c>
      <c r="C1003" t="s">
        <v>19</v>
      </c>
      <c r="D1003" s="1">
        <v>45369</v>
      </c>
      <c r="E1003" t="s">
        <v>29</v>
      </c>
      <c r="F1003">
        <v>20</v>
      </c>
      <c r="G1003">
        <v>188</v>
      </c>
      <c r="H1003">
        <v>4</v>
      </c>
      <c r="I1003">
        <v>3128</v>
      </c>
      <c r="J1003">
        <v>214</v>
      </c>
      <c r="K1003">
        <v>40</v>
      </c>
      <c r="L1003">
        <v>244</v>
      </c>
      <c r="M1003">
        <v>1.1592071611253101</v>
      </c>
      <c r="N1003" t="s">
        <v>23</v>
      </c>
      <c r="O1003">
        <v>0</v>
      </c>
    </row>
    <row r="1004" spans="1:15" x14ac:dyDescent="0.35">
      <c r="A1004">
        <v>1003</v>
      </c>
      <c r="B1004" t="s">
        <v>22</v>
      </c>
      <c r="C1004" t="s">
        <v>19</v>
      </c>
      <c r="D1004" s="1">
        <v>45434</v>
      </c>
      <c r="E1004" t="s">
        <v>25</v>
      </c>
      <c r="F1004">
        <v>15</v>
      </c>
      <c r="G1004">
        <v>32</v>
      </c>
      <c r="H1004">
        <v>7</v>
      </c>
      <c r="I1004">
        <v>2651</v>
      </c>
      <c r="J1004">
        <v>664</v>
      </c>
      <c r="K1004">
        <v>42</v>
      </c>
      <c r="L1004">
        <v>534</v>
      </c>
      <c r="M1004">
        <v>1.4677480196152299</v>
      </c>
      <c r="N1004" t="s">
        <v>23</v>
      </c>
      <c r="O1004">
        <v>0</v>
      </c>
    </row>
    <row r="1005" spans="1:15" x14ac:dyDescent="0.35">
      <c r="A1005">
        <v>1004</v>
      </c>
      <c r="B1005" t="s">
        <v>15</v>
      </c>
      <c r="C1005" t="s">
        <v>19</v>
      </c>
      <c r="D1005" s="1">
        <v>45461</v>
      </c>
      <c r="E1005" t="s">
        <v>17</v>
      </c>
      <c r="F1005">
        <v>13</v>
      </c>
      <c r="G1005">
        <v>133</v>
      </c>
      <c r="H1005">
        <v>19</v>
      </c>
      <c r="I1005">
        <v>2857</v>
      </c>
      <c r="J1005">
        <v>253</v>
      </c>
      <c r="K1005">
        <v>212</v>
      </c>
      <c r="L1005">
        <v>553</v>
      </c>
      <c r="M1005">
        <v>1.35631781589079</v>
      </c>
      <c r="N1005" t="s">
        <v>23</v>
      </c>
      <c r="O1005">
        <v>0</v>
      </c>
    </row>
    <row r="1006" spans="1:15" x14ac:dyDescent="0.35">
      <c r="A1006">
        <v>1005</v>
      </c>
      <c r="B1006" t="s">
        <v>26</v>
      </c>
      <c r="C1006" t="s">
        <v>16</v>
      </c>
      <c r="D1006" s="1">
        <v>45487</v>
      </c>
      <c r="E1006" t="s">
        <v>20</v>
      </c>
      <c r="F1006">
        <v>8</v>
      </c>
      <c r="G1006">
        <v>271</v>
      </c>
      <c r="H1006">
        <v>2</v>
      </c>
      <c r="I1006">
        <v>4321</v>
      </c>
      <c r="J1006">
        <v>334</v>
      </c>
      <c r="K1006">
        <v>189</v>
      </c>
      <c r="L1006">
        <v>453</v>
      </c>
      <c r="M1006">
        <v>1.22587364036102</v>
      </c>
      <c r="N1006" t="s">
        <v>23</v>
      </c>
      <c r="O1006">
        <v>0</v>
      </c>
    </row>
    <row r="1007" spans="1:15" x14ac:dyDescent="0.35">
      <c r="A1007">
        <v>1006</v>
      </c>
      <c r="B1007" t="s">
        <v>15</v>
      </c>
      <c r="C1007" t="s">
        <v>16</v>
      </c>
      <c r="D1007" s="1">
        <v>45390</v>
      </c>
      <c r="E1007" t="s">
        <v>29</v>
      </c>
      <c r="F1007">
        <v>11</v>
      </c>
      <c r="G1007">
        <v>124</v>
      </c>
      <c r="H1007">
        <v>7</v>
      </c>
      <c r="I1007">
        <v>476</v>
      </c>
      <c r="J1007">
        <v>654</v>
      </c>
      <c r="K1007">
        <v>146</v>
      </c>
      <c r="L1007">
        <v>210</v>
      </c>
      <c r="M1007">
        <v>3.1218487394957899</v>
      </c>
      <c r="N1007" t="s">
        <v>18</v>
      </c>
      <c r="O1007">
        <v>0</v>
      </c>
    </row>
    <row r="1008" spans="1:15" x14ac:dyDescent="0.35">
      <c r="A1008">
        <v>1007</v>
      </c>
      <c r="B1008" t="s">
        <v>15</v>
      </c>
      <c r="C1008" t="s">
        <v>19</v>
      </c>
      <c r="D1008" s="1">
        <v>45551</v>
      </c>
      <c r="E1008" t="s">
        <v>29</v>
      </c>
      <c r="F1008">
        <v>12</v>
      </c>
      <c r="G1008">
        <v>145</v>
      </c>
      <c r="H1008">
        <v>13</v>
      </c>
      <c r="I1008">
        <v>690</v>
      </c>
      <c r="J1008">
        <v>441</v>
      </c>
      <c r="K1008">
        <v>480</v>
      </c>
      <c r="L1008">
        <v>319</v>
      </c>
      <c r="M1008">
        <v>2.7971014492753601</v>
      </c>
      <c r="N1008" t="s">
        <v>18</v>
      </c>
      <c r="O1008">
        <v>0</v>
      </c>
    </row>
    <row r="1009" spans="1:15" x14ac:dyDescent="0.35">
      <c r="A1009">
        <v>1008</v>
      </c>
      <c r="B1009" t="s">
        <v>22</v>
      </c>
      <c r="C1009" t="s">
        <v>19</v>
      </c>
      <c r="D1009" s="1">
        <v>45382</v>
      </c>
      <c r="E1009" t="s">
        <v>20</v>
      </c>
      <c r="F1009">
        <v>12</v>
      </c>
      <c r="G1009">
        <v>159</v>
      </c>
      <c r="H1009">
        <v>15</v>
      </c>
      <c r="I1009">
        <v>2089</v>
      </c>
      <c r="J1009">
        <v>315</v>
      </c>
      <c r="K1009">
        <v>294</v>
      </c>
      <c r="L1009">
        <v>591</v>
      </c>
      <c r="M1009">
        <v>1.57443752991862</v>
      </c>
      <c r="N1009" t="s">
        <v>23</v>
      </c>
      <c r="O1009">
        <v>0</v>
      </c>
    </row>
    <row r="1010" spans="1:15" x14ac:dyDescent="0.35">
      <c r="A1010">
        <v>1009</v>
      </c>
      <c r="B1010" t="s">
        <v>22</v>
      </c>
      <c r="C1010" t="s">
        <v>24</v>
      </c>
      <c r="D1010" s="1">
        <v>45332</v>
      </c>
      <c r="E1010" t="s">
        <v>28</v>
      </c>
      <c r="F1010">
        <v>19</v>
      </c>
      <c r="G1010">
        <v>278</v>
      </c>
      <c r="H1010">
        <v>19</v>
      </c>
      <c r="I1010">
        <v>2995</v>
      </c>
      <c r="J1010">
        <v>412</v>
      </c>
      <c r="K1010">
        <v>388</v>
      </c>
      <c r="L1010">
        <v>172</v>
      </c>
      <c r="M1010">
        <v>1.3245409015025</v>
      </c>
      <c r="N1010" t="s">
        <v>23</v>
      </c>
      <c r="O1010">
        <v>0</v>
      </c>
    </row>
    <row r="1011" spans="1:15" x14ac:dyDescent="0.35">
      <c r="A1011">
        <v>1010</v>
      </c>
      <c r="B1011" t="s">
        <v>22</v>
      </c>
      <c r="C1011" t="s">
        <v>16</v>
      </c>
      <c r="D1011" s="1">
        <v>45513</v>
      </c>
      <c r="E1011" t="s">
        <v>30</v>
      </c>
      <c r="F1011">
        <v>15</v>
      </c>
      <c r="G1011">
        <v>295</v>
      </c>
      <c r="H1011">
        <v>4</v>
      </c>
      <c r="I1011">
        <v>1326</v>
      </c>
      <c r="J1011">
        <v>498</v>
      </c>
      <c r="K1011">
        <v>22</v>
      </c>
      <c r="L1011">
        <v>391</v>
      </c>
      <c r="M1011">
        <v>1.68702865761689</v>
      </c>
      <c r="N1011" t="s">
        <v>21</v>
      </c>
      <c r="O1011">
        <v>0</v>
      </c>
    </row>
    <row r="1012" spans="1:15" x14ac:dyDescent="0.35">
      <c r="A1012">
        <v>1011</v>
      </c>
      <c r="B1012" t="s">
        <v>22</v>
      </c>
      <c r="C1012" t="s">
        <v>24</v>
      </c>
      <c r="D1012" s="1">
        <v>45575</v>
      </c>
      <c r="E1012" t="s">
        <v>27</v>
      </c>
      <c r="F1012">
        <v>15</v>
      </c>
      <c r="G1012">
        <v>212</v>
      </c>
      <c r="H1012">
        <v>17</v>
      </c>
      <c r="I1012">
        <v>1489</v>
      </c>
      <c r="J1012">
        <v>268</v>
      </c>
      <c r="K1012">
        <v>391</v>
      </c>
      <c r="L1012">
        <v>475</v>
      </c>
      <c r="M1012">
        <v>1.76158495634654</v>
      </c>
      <c r="N1012" t="s">
        <v>21</v>
      </c>
      <c r="O1012">
        <v>0</v>
      </c>
    </row>
    <row r="1013" spans="1:15" x14ac:dyDescent="0.35">
      <c r="A1013">
        <v>1012</v>
      </c>
      <c r="B1013" t="s">
        <v>15</v>
      </c>
      <c r="C1013" t="s">
        <v>16</v>
      </c>
      <c r="D1013" s="1">
        <v>45538</v>
      </c>
      <c r="E1013" t="s">
        <v>17</v>
      </c>
      <c r="F1013">
        <v>12</v>
      </c>
      <c r="G1013">
        <v>22</v>
      </c>
      <c r="H1013">
        <v>0</v>
      </c>
      <c r="I1013">
        <v>639</v>
      </c>
      <c r="J1013">
        <v>346</v>
      </c>
      <c r="K1013">
        <v>141</v>
      </c>
      <c r="L1013">
        <v>481</v>
      </c>
      <c r="M1013">
        <v>2.5148669796557099</v>
      </c>
      <c r="N1013" t="s">
        <v>18</v>
      </c>
      <c r="O1013">
        <v>0</v>
      </c>
    </row>
    <row r="1014" spans="1:15" x14ac:dyDescent="0.35">
      <c r="A1014">
        <v>1013</v>
      </c>
      <c r="B1014" t="s">
        <v>22</v>
      </c>
      <c r="C1014" t="s">
        <v>19</v>
      </c>
      <c r="D1014" s="1">
        <v>45548</v>
      </c>
      <c r="E1014" t="s">
        <v>30</v>
      </c>
      <c r="F1014">
        <v>17</v>
      </c>
      <c r="G1014">
        <v>216</v>
      </c>
      <c r="H1014">
        <v>15</v>
      </c>
      <c r="I1014">
        <v>3115</v>
      </c>
      <c r="J1014">
        <v>508</v>
      </c>
      <c r="K1014">
        <v>416</v>
      </c>
      <c r="L1014">
        <v>426</v>
      </c>
      <c r="M1014">
        <v>1.43338683788122</v>
      </c>
      <c r="N1014" t="s">
        <v>23</v>
      </c>
      <c r="O1014">
        <v>0</v>
      </c>
    </row>
    <row r="1015" spans="1:15" x14ac:dyDescent="0.35">
      <c r="A1015">
        <v>1014</v>
      </c>
      <c r="B1015" t="s">
        <v>15</v>
      </c>
      <c r="C1015" t="s">
        <v>24</v>
      </c>
      <c r="D1015" s="1">
        <v>45449</v>
      </c>
      <c r="E1015" t="s">
        <v>27</v>
      </c>
      <c r="F1015">
        <v>11</v>
      </c>
      <c r="G1015">
        <v>119</v>
      </c>
      <c r="H1015">
        <v>13</v>
      </c>
      <c r="I1015">
        <v>4869</v>
      </c>
      <c r="J1015">
        <v>77</v>
      </c>
      <c r="K1015">
        <v>420</v>
      </c>
      <c r="L1015">
        <v>40</v>
      </c>
      <c r="M1015">
        <v>1.11028958718422</v>
      </c>
      <c r="N1015" t="s">
        <v>23</v>
      </c>
      <c r="O1015">
        <v>0</v>
      </c>
    </row>
    <row r="1016" spans="1:15" x14ac:dyDescent="0.35">
      <c r="A1016">
        <v>1015</v>
      </c>
      <c r="B1016" t="s">
        <v>26</v>
      </c>
      <c r="C1016" t="s">
        <v>24</v>
      </c>
      <c r="D1016" s="1">
        <v>45422</v>
      </c>
      <c r="E1016" t="s">
        <v>30</v>
      </c>
      <c r="F1016">
        <v>7</v>
      </c>
      <c r="G1016">
        <v>217</v>
      </c>
      <c r="H1016">
        <v>13</v>
      </c>
      <c r="I1016">
        <v>2905</v>
      </c>
      <c r="J1016">
        <v>526</v>
      </c>
      <c r="K1016">
        <v>502</v>
      </c>
      <c r="L1016">
        <v>651</v>
      </c>
      <c r="M1016">
        <v>1.5779690189328699</v>
      </c>
      <c r="N1016" t="s">
        <v>23</v>
      </c>
      <c r="O1016">
        <v>0</v>
      </c>
    </row>
    <row r="1017" spans="1:15" x14ac:dyDescent="0.35">
      <c r="A1017">
        <v>1016</v>
      </c>
      <c r="B1017" t="s">
        <v>26</v>
      </c>
      <c r="C1017" t="s">
        <v>19</v>
      </c>
      <c r="D1017" s="1">
        <v>45418</v>
      </c>
      <c r="E1017" t="s">
        <v>29</v>
      </c>
      <c r="F1017">
        <v>6</v>
      </c>
      <c r="G1017">
        <v>95</v>
      </c>
      <c r="H1017">
        <v>8</v>
      </c>
      <c r="I1017">
        <v>2035</v>
      </c>
      <c r="J1017">
        <v>494</v>
      </c>
      <c r="K1017">
        <v>37</v>
      </c>
      <c r="L1017">
        <v>371</v>
      </c>
      <c r="M1017">
        <v>1.44324324324324</v>
      </c>
      <c r="N1017" t="s">
        <v>23</v>
      </c>
      <c r="O1017">
        <v>0</v>
      </c>
    </row>
    <row r="1018" spans="1:15" x14ac:dyDescent="0.35">
      <c r="A1018">
        <v>1017</v>
      </c>
      <c r="B1018" t="s">
        <v>26</v>
      </c>
      <c r="C1018" t="s">
        <v>19</v>
      </c>
      <c r="D1018" s="1">
        <v>45525</v>
      </c>
      <c r="E1018" t="s">
        <v>25</v>
      </c>
      <c r="F1018">
        <v>11</v>
      </c>
      <c r="G1018">
        <v>26</v>
      </c>
      <c r="H1018">
        <v>3</v>
      </c>
      <c r="I1018">
        <v>1257</v>
      </c>
      <c r="J1018">
        <v>265</v>
      </c>
      <c r="K1018">
        <v>255</v>
      </c>
      <c r="L1018">
        <v>617</v>
      </c>
      <c r="M1018">
        <v>1.9045346062052499</v>
      </c>
      <c r="N1018" t="s">
        <v>21</v>
      </c>
      <c r="O1018">
        <v>0</v>
      </c>
    </row>
    <row r="1019" spans="1:15" x14ac:dyDescent="0.35">
      <c r="A1019">
        <v>1018</v>
      </c>
      <c r="B1019" t="s">
        <v>15</v>
      </c>
      <c r="C1019" t="s">
        <v>24</v>
      </c>
      <c r="D1019" s="1">
        <v>45339</v>
      </c>
      <c r="E1019" t="s">
        <v>28</v>
      </c>
      <c r="F1019">
        <v>11</v>
      </c>
      <c r="G1019">
        <v>238</v>
      </c>
      <c r="H1019">
        <v>8</v>
      </c>
      <c r="I1019">
        <v>3198</v>
      </c>
      <c r="J1019">
        <v>412</v>
      </c>
      <c r="K1019">
        <v>84</v>
      </c>
      <c r="L1019">
        <v>531</v>
      </c>
      <c r="M1019">
        <v>1.32113821138211</v>
      </c>
      <c r="N1019" t="s">
        <v>23</v>
      </c>
      <c r="O1019">
        <v>0</v>
      </c>
    </row>
    <row r="1020" spans="1:15" x14ac:dyDescent="0.35">
      <c r="A1020">
        <v>1019</v>
      </c>
      <c r="B1020" t="s">
        <v>22</v>
      </c>
      <c r="C1020" t="s">
        <v>19</v>
      </c>
      <c r="D1020" s="1">
        <v>45446</v>
      </c>
      <c r="E1020" t="s">
        <v>29</v>
      </c>
      <c r="F1020">
        <v>19</v>
      </c>
      <c r="G1020">
        <v>65</v>
      </c>
      <c r="H1020">
        <v>3</v>
      </c>
      <c r="I1020">
        <v>4151</v>
      </c>
      <c r="J1020">
        <v>550</v>
      </c>
      <c r="K1020">
        <v>393</v>
      </c>
      <c r="L1020">
        <v>601</v>
      </c>
      <c r="M1020">
        <v>1.3719585642013901</v>
      </c>
      <c r="N1020" t="s">
        <v>23</v>
      </c>
      <c r="O1020">
        <v>0</v>
      </c>
    </row>
    <row r="1021" spans="1:15" x14ac:dyDescent="0.35">
      <c r="A1021">
        <v>1020</v>
      </c>
      <c r="B1021" t="s">
        <v>26</v>
      </c>
      <c r="C1021" t="s">
        <v>24</v>
      </c>
      <c r="D1021" s="1">
        <v>45585</v>
      </c>
      <c r="E1021" t="s">
        <v>20</v>
      </c>
      <c r="F1021">
        <v>15</v>
      </c>
      <c r="G1021">
        <v>23</v>
      </c>
      <c r="H1021">
        <v>5</v>
      </c>
      <c r="I1021">
        <v>2871</v>
      </c>
      <c r="J1021">
        <v>151</v>
      </c>
      <c r="K1021">
        <v>277</v>
      </c>
      <c r="L1021">
        <v>215</v>
      </c>
      <c r="M1021">
        <v>1.22396377568791</v>
      </c>
      <c r="N1021" t="s">
        <v>23</v>
      </c>
      <c r="O1021">
        <v>0</v>
      </c>
    </row>
    <row r="1022" spans="1:15" x14ac:dyDescent="0.35">
      <c r="A1022">
        <v>1021</v>
      </c>
      <c r="B1022" t="s">
        <v>26</v>
      </c>
      <c r="C1022" t="s">
        <v>24</v>
      </c>
      <c r="D1022" s="1">
        <v>45543</v>
      </c>
      <c r="E1022" t="s">
        <v>20</v>
      </c>
      <c r="F1022">
        <v>15</v>
      </c>
      <c r="G1022">
        <v>240</v>
      </c>
      <c r="H1022">
        <v>5</v>
      </c>
      <c r="I1022">
        <v>62</v>
      </c>
      <c r="J1022">
        <v>104</v>
      </c>
      <c r="K1022">
        <v>73</v>
      </c>
      <c r="L1022">
        <v>428</v>
      </c>
      <c r="M1022">
        <v>10.758064516129</v>
      </c>
      <c r="N1022" t="s">
        <v>18</v>
      </c>
      <c r="O1022">
        <v>0</v>
      </c>
    </row>
    <row r="1023" spans="1:15" x14ac:dyDescent="0.35">
      <c r="A1023">
        <v>1022</v>
      </c>
      <c r="B1023" t="s">
        <v>22</v>
      </c>
      <c r="C1023" t="s">
        <v>16</v>
      </c>
      <c r="D1023" s="1">
        <v>45382</v>
      </c>
      <c r="E1023" t="s">
        <v>20</v>
      </c>
      <c r="F1023">
        <v>22</v>
      </c>
      <c r="G1023">
        <v>76</v>
      </c>
      <c r="H1023">
        <v>14</v>
      </c>
      <c r="I1023">
        <v>3119</v>
      </c>
      <c r="J1023">
        <v>195</v>
      </c>
      <c r="K1023">
        <v>139</v>
      </c>
      <c r="L1023">
        <v>203</v>
      </c>
      <c r="M1023">
        <v>1.1721705674895799</v>
      </c>
      <c r="N1023" t="s">
        <v>23</v>
      </c>
      <c r="O1023">
        <v>0</v>
      </c>
    </row>
    <row r="1024" spans="1:15" x14ac:dyDescent="0.35">
      <c r="A1024">
        <v>1023</v>
      </c>
      <c r="B1024" t="s">
        <v>26</v>
      </c>
      <c r="C1024" t="s">
        <v>16</v>
      </c>
      <c r="D1024" s="1">
        <v>45582</v>
      </c>
      <c r="E1024" t="s">
        <v>27</v>
      </c>
      <c r="F1024">
        <v>12</v>
      </c>
      <c r="G1024">
        <v>152</v>
      </c>
      <c r="H1024">
        <v>13</v>
      </c>
      <c r="I1024">
        <v>1791</v>
      </c>
      <c r="J1024">
        <v>195</v>
      </c>
      <c r="K1024">
        <v>207</v>
      </c>
      <c r="L1024">
        <v>61</v>
      </c>
      <c r="M1024">
        <v>1.2585147962032299</v>
      </c>
      <c r="N1024" t="s">
        <v>23</v>
      </c>
      <c r="O1024">
        <v>0</v>
      </c>
    </row>
    <row r="1025" spans="1:15" x14ac:dyDescent="0.35">
      <c r="A1025">
        <v>1024</v>
      </c>
      <c r="B1025" t="s">
        <v>22</v>
      </c>
      <c r="C1025" t="s">
        <v>16</v>
      </c>
      <c r="D1025" s="1">
        <v>45517</v>
      </c>
      <c r="E1025" t="s">
        <v>17</v>
      </c>
      <c r="F1025">
        <v>18</v>
      </c>
      <c r="G1025">
        <v>83</v>
      </c>
      <c r="H1025">
        <v>8</v>
      </c>
      <c r="I1025">
        <v>944</v>
      </c>
      <c r="J1025">
        <v>656</v>
      </c>
      <c r="K1025">
        <v>172</v>
      </c>
      <c r="L1025">
        <v>82</v>
      </c>
      <c r="M1025">
        <v>1.9639830508474501</v>
      </c>
      <c r="N1025" t="s">
        <v>21</v>
      </c>
      <c r="O1025">
        <v>0</v>
      </c>
    </row>
    <row r="1026" spans="1:15" x14ac:dyDescent="0.35">
      <c r="A1026">
        <v>1025</v>
      </c>
      <c r="B1026" t="s">
        <v>22</v>
      </c>
      <c r="C1026" t="s">
        <v>19</v>
      </c>
      <c r="D1026" s="1">
        <v>45324</v>
      </c>
      <c r="E1026" t="s">
        <v>30</v>
      </c>
      <c r="F1026">
        <v>9</v>
      </c>
      <c r="G1026">
        <v>24</v>
      </c>
      <c r="H1026">
        <v>1</v>
      </c>
      <c r="I1026">
        <v>2852</v>
      </c>
      <c r="J1026">
        <v>35</v>
      </c>
      <c r="K1026">
        <v>242</v>
      </c>
      <c r="L1026">
        <v>490</v>
      </c>
      <c r="M1026">
        <v>1.2689340813464201</v>
      </c>
      <c r="N1026" t="s">
        <v>23</v>
      </c>
      <c r="O1026">
        <v>0</v>
      </c>
    </row>
    <row r="1027" spans="1:15" x14ac:dyDescent="0.35">
      <c r="A1027">
        <v>1026</v>
      </c>
      <c r="B1027" t="s">
        <v>15</v>
      </c>
      <c r="C1027" t="s">
        <v>16</v>
      </c>
      <c r="D1027" s="1">
        <v>45428</v>
      </c>
      <c r="E1027" t="s">
        <v>27</v>
      </c>
      <c r="F1027">
        <v>22</v>
      </c>
      <c r="G1027">
        <v>23</v>
      </c>
      <c r="H1027">
        <v>12</v>
      </c>
      <c r="I1027">
        <v>109</v>
      </c>
      <c r="J1027">
        <v>686</v>
      </c>
      <c r="K1027">
        <v>598</v>
      </c>
      <c r="L1027">
        <v>43</v>
      </c>
      <c r="M1027">
        <v>13.174311926605499</v>
      </c>
      <c r="N1027" t="s">
        <v>18</v>
      </c>
      <c r="O1027">
        <v>1</v>
      </c>
    </row>
    <row r="1028" spans="1:15" x14ac:dyDescent="0.35">
      <c r="A1028">
        <v>1027</v>
      </c>
      <c r="B1028" t="s">
        <v>26</v>
      </c>
      <c r="C1028" t="s">
        <v>24</v>
      </c>
      <c r="D1028" s="1">
        <v>45558</v>
      </c>
      <c r="E1028" t="s">
        <v>29</v>
      </c>
      <c r="F1028">
        <v>16</v>
      </c>
      <c r="G1028">
        <v>209</v>
      </c>
      <c r="H1028">
        <v>10</v>
      </c>
      <c r="I1028">
        <v>2227</v>
      </c>
      <c r="J1028">
        <v>502</v>
      </c>
      <c r="K1028">
        <v>486</v>
      </c>
      <c r="L1028">
        <v>346</v>
      </c>
      <c r="M1028">
        <v>1.59901212393354</v>
      </c>
      <c r="N1028" t="s">
        <v>23</v>
      </c>
      <c r="O1028">
        <v>0</v>
      </c>
    </row>
    <row r="1029" spans="1:15" x14ac:dyDescent="0.35">
      <c r="A1029">
        <v>1028</v>
      </c>
      <c r="B1029" t="s">
        <v>26</v>
      </c>
      <c r="C1029" t="s">
        <v>16</v>
      </c>
      <c r="D1029" s="1">
        <v>45453</v>
      </c>
      <c r="E1029" t="s">
        <v>29</v>
      </c>
      <c r="F1029">
        <v>17</v>
      </c>
      <c r="G1029">
        <v>189</v>
      </c>
      <c r="H1029">
        <v>3</v>
      </c>
      <c r="I1029">
        <v>2012</v>
      </c>
      <c r="J1029">
        <v>374</v>
      </c>
      <c r="K1029">
        <v>410</v>
      </c>
      <c r="L1029">
        <v>388</v>
      </c>
      <c r="M1029">
        <v>1.58250497017892</v>
      </c>
      <c r="N1029" t="s">
        <v>23</v>
      </c>
      <c r="O1029">
        <v>0</v>
      </c>
    </row>
    <row r="1030" spans="1:15" x14ac:dyDescent="0.35">
      <c r="A1030">
        <v>1029</v>
      </c>
      <c r="B1030" t="s">
        <v>15</v>
      </c>
      <c r="C1030" t="s">
        <v>19</v>
      </c>
      <c r="D1030" s="1">
        <v>45293</v>
      </c>
      <c r="E1030" t="s">
        <v>17</v>
      </c>
      <c r="F1030">
        <v>9</v>
      </c>
      <c r="G1030">
        <v>291</v>
      </c>
      <c r="H1030">
        <v>8</v>
      </c>
      <c r="I1030">
        <v>3793</v>
      </c>
      <c r="J1030">
        <v>720</v>
      </c>
      <c r="K1030">
        <v>413</v>
      </c>
      <c r="L1030">
        <v>143</v>
      </c>
      <c r="M1030">
        <v>1.3364091747956699</v>
      </c>
      <c r="N1030" t="s">
        <v>23</v>
      </c>
      <c r="O1030">
        <v>0</v>
      </c>
    </row>
    <row r="1031" spans="1:15" x14ac:dyDescent="0.35">
      <c r="A1031">
        <v>1030</v>
      </c>
      <c r="B1031" t="s">
        <v>22</v>
      </c>
      <c r="C1031" t="s">
        <v>19</v>
      </c>
      <c r="D1031" s="1">
        <v>45419</v>
      </c>
      <c r="E1031" t="s">
        <v>17</v>
      </c>
      <c r="F1031">
        <v>12</v>
      </c>
      <c r="G1031">
        <v>21</v>
      </c>
      <c r="H1031">
        <v>20</v>
      </c>
      <c r="I1031">
        <v>3068</v>
      </c>
      <c r="J1031">
        <v>467</v>
      </c>
      <c r="K1031">
        <v>488</v>
      </c>
      <c r="L1031">
        <v>528</v>
      </c>
      <c r="M1031">
        <v>1.4833767926988199</v>
      </c>
      <c r="N1031" t="s">
        <v>23</v>
      </c>
      <c r="O1031">
        <v>0</v>
      </c>
    </row>
    <row r="1032" spans="1:15" x14ac:dyDescent="0.35">
      <c r="A1032">
        <v>1031</v>
      </c>
      <c r="B1032" t="s">
        <v>26</v>
      </c>
      <c r="C1032" t="s">
        <v>24</v>
      </c>
      <c r="D1032" s="1">
        <v>45456</v>
      </c>
      <c r="E1032" t="s">
        <v>27</v>
      </c>
      <c r="F1032">
        <v>20</v>
      </c>
      <c r="G1032">
        <v>139</v>
      </c>
      <c r="H1032">
        <v>19</v>
      </c>
      <c r="I1032">
        <v>186</v>
      </c>
      <c r="J1032">
        <v>653</v>
      </c>
      <c r="K1032">
        <v>370</v>
      </c>
      <c r="L1032">
        <v>47</v>
      </c>
      <c r="M1032">
        <v>6.7526881720430101</v>
      </c>
      <c r="N1032" t="s">
        <v>18</v>
      </c>
      <c r="O1032">
        <v>0</v>
      </c>
    </row>
    <row r="1033" spans="1:15" x14ac:dyDescent="0.35">
      <c r="A1033">
        <v>1032</v>
      </c>
      <c r="B1033" t="s">
        <v>22</v>
      </c>
      <c r="C1033" t="s">
        <v>24</v>
      </c>
      <c r="D1033" s="1">
        <v>45540</v>
      </c>
      <c r="E1033" t="s">
        <v>27</v>
      </c>
      <c r="F1033">
        <v>9</v>
      </c>
      <c r="G1033">
        <v>217</v>
      </c>
      <c r="H1033">
        <v>9</v>
      </c>
      <c r="I1033">
        <v>3328</v>
      </c>
      <c r="J1033">
        <v>761</v>
      </c>
      <c r="K1033">
        <v>85</v>
      </c>
      <c r="L1033">
        <v>357</v>
      </c>
      <c r="M1033">
        <v>1.3614783653846101</v>
      </c>
      <c r="N1033" t="s">
        <v>23</v>
      </c>
      <c r="O1033">
        <v>0</v>
      </c>
    </row>
    <row r="1034" spans="1:15" x14ac:dyDescent="0.35">
      <c r="A1034">
        <v>1033</v>
      </c>
      <c r="B1034" t="s">
        <v>15</v>
      </c>
      <c r="C1034" t="s">
        <v>16</v>
      </c>
      <c r="D1034" s="1">
        <v>45391</v>
      </c>
      <c r="E1034" t="s">
        <v>17</v>
      </c>
      <c r="F1034">
        <v>21</v>
      </c>
      <c r="G1034">
        <v>64</v>
      </c>
      <c r="H1034">
        <v>9</v>
      </c>
      <c r="I1034">
        <v>1222</v>
      </c>
      <c r="J1034">
        <v>537</v>
      </c>
      <c r="K1034">
        <v>587</v>
      </c>
      <c r="L1034">
        <v>517</v>
      </c>
      <c r="M1034">
        <v>2.34288052373158</v>
      </c>
      <c r="N1034" t="s">
        <v>21</v>
      </c>
      <c r="O1034">
        <v>1</v>
      </c>
    </row>
    <row r="1035" spans="1:15" x14ac:dyDescent="0.35">
      <c r="A1035">
        <v>1034</v>
      </c>
      <c r="B1035" t="s">
        <v>22</v>
      </c>
      <c r="C1035" t="s">
        <v>19</v>
      </c>
      <c r="D1035" s="1">
        <v>45572</v>
      </c>
      <c r="E1035" t="s">
        <v>29</v>
      </c>
      <c r="F1035">
        <v>23</v>
      </c>
      <c r="G1035">
        <v>143</v>
      </c>
      <c r="H1035">
        <v>7</v>
      </c>
      <c r="I1035">
        <v>3874</v>
      </c>
      <c r="J1035">
        <v>177</v>
      </c>
      <c r="K1035">
        <v>458</v>
      </c>
      <c r="L1035">
        <v>119</v>
      </c>
      <c r="M1035">
        <v>1.19463087248322</v>
      </c>
      <c r="N1035" t="s">
        <v>23</v>
      </c>
      <c r="O1035">
        <v>0</v>
      </c>
    </row>
    <row r="1036" spans="1:15" x14ac:dyDescent="0.35">
      <c r="A1036">
        <v>1035</v>
      </c>
      <c r="B1036" t="s">
        <v>22</v>
      </c>
      <c r="C1036" t="s">
        <v>19</v>
      </c>
      <c r="D1036" s="1">
        <v>45400</v>
      </c>
      <c r="E1036" t="s">
        <v>27</v>
      </c>
      <c r="F1036">
        <v>6</v>
      </c>
      <c r="G1036">
        <v>102</v>
      </c>
      <c r="H1036">
        <v>10</v>
      </c>
      <c r="I1036">
        <v>1446</v>
      </c>
      <c r="J1036">
        <v>776</v>
      </c>
      <c r="K1036">
        <v>93</v>
      </c>
      <c r="L1036">
        <v>109</v>
      </c>
      <c r="M1036">
        <v>1.6763485477178399</v>
      </c>
      <c r="N1036" t="s">
        <v>21</v>
      </c>
      <c r="O1036">
        <v>0</v>
      </c>
    </row>
    <row r="1037" spans="1:15" x14ac:dyDescent="0.35">
      <c r="A1037">
        <v>1036</v>
      </c>
      <c r="B1037" t="s">
        <v>22</v>
      </c>
      <c r="C1037" t="s">
        <v>19</v>
      </c>
      <c r="D1037" s="1">
        <v>45488</v>
      </c>
      <c r="E1037" t="s">
        <v>29</v>
      </c>
      <c r="F1037">
        <v>9</v>
      </c>
      <c r="G1037">
        <v>89</v>
      </c>
      <c r="H1037">
        <v>17</v>
      </c>
      <c r="I1037">
        <v>2346</v>
      </c>
      <c r="J1037">
        <v>230</v>
      </c>
      <c r="K1037">
        <v>265</v>
      </c>
      <c r="L1037">
        <v>682</v>
      </c>
      <c r="M1037">
        <v>1.5017050298380199</v>
      </c>
      <c r="N1037" t="s">
        <v>23</v>
      </c>
      <c r="O1037">
        <v>0</v>
      </c>
    </row>
    <row r="1038" spans="1:15" x14ac:dyDescent="0.35">
      <c r="A1038">
        <v>1037</v>
      </c>
      <c r="B1038" t="s">
        <v>26</v>
      </c>
      <c r="C1038" t="s">
        <v>19</v>
      </c>
      <c r="D1038" s="1">
        <v>45543</v>
      </c>
      <c r="E1038" t="s">
        <v>20</v>
      </c>
      <c r="F1038">
        <v>8</v>
      </c>
      <c r="G1038">
        <v>195</v>
      </c>
      <c r="H1038">
        <v>12</v>
      </c>
      <c r="I1038">
        <v>790</v>
      </c>
      <c r="J1038">
        <v>713</v>
      </c>
      <c r="K1038">
        <v>342</v>
      </c>
      <c r="L1038">
        <v>230</v>
      </c>
      <c r="M1038">
        <v>2.6265822784810098</v>
      </c>
      <c r="N1038" t="s">
        <v>18</v>
      </c>
      <c r="O1038">
        <v>0</v>
      </c>
    </row>
    <row r="1039" spans="1:15" x14ac:dyDescent="0.35">
      <c r="A1039">
        <v>1038</v>
      </c>
      <c r="B1039" t="s">
        <v>22</v>
      </c>
      <c r="C1039" t="s">
        <v>16</v>
      </c>
      <c r="D1039" s="1">
        <v>45487</v>
      </c>
      <c r="E1039" t="s">
        <v>20</v>
      </c>
      <c r="F1039">
        <v>15</v>
      </c>
      <c r="G1039">
        <v>64</v>
      </c>
      <c r="H1039">
        <v>3</v>
      </c>
      <c r="I1039">
        <v>4653</v>
      </c>
      <c r="J1039">
        <v>452</v>
      </c>
      <c r="K1039">
        <v>240</v>
      </c>
      <c r="L1039">
        <v>229</v>
      </c>
      <c r="M1039">
        <v>1.19793681495809</v>
      </c>
      <c r="N1039" t="s">
        <v>23</v>
      </c>
      <c r="O1039">
        <v>0</v>
      </c>
    </row>
    <row r="1040" spans="1:15" x14ac:dyDescent="0.35">
      <c r="A1040">
        <v>1039</v>
      </c>
      <c r="B1040" t="s">
        <v>26</v>
      </c>
      <c r="C1040" t="s">
        <v>24</v>
      </c>
      <c r="D1040" s="1">
        <v>45337</v>
      </c>
      <c r="E1040" t="s">
        <v>27</v>
      </c>
      <c r="F1040">
        <v>10</v>
      </c>
      <c r="G1040">
        <v>180</v>
      </c>
      <c r="H1040">
        <v>12</v>
      </c>
      <c r="I1040">
        <v>2837</v>
      </c>
      <c r="J1040">
        <v>763</v>
      </c>
      <c r="K1040">
        <v>194</v>
      </c>
      <c r="L1040">
        <v>119</v>
      </c>
      <c r="M1040">
        <v>1.37927388086006</v>
      </c>
      <c r="N1040" t="s">
        <v>23</v>
      </c>
      <c r="O1040">
        <v>0</v>
      </c>
    </row>
    <row r="1041" spans="1:15" x14ac:dyDescent="0.35">
      <c r="A1041">
        <v>1040</v>
      </c>
      <c r="B1041" t="s">
        <v>26</v>
      </c>
      <c r="C1041" t="s">
        <v>16</v>
      </c>
      <c r="D1041" s="1">
        <v>45587</v>
      </c>
      <c r="E1041" t="s">
        <v>17</v>
      </c>
      <c r="F1041">
        <v>18</v>
      </c>
      <c r="G1041">
        <v>236</v>
      </c>
      <c r="H1041">
        <v>10</v>
      </c>
      <c r="I1041">
        <v>63</v>
      </c>
      <c r="J1041">
        <v>323</v>
      </c>
      <c r="K1041">
        <v>65</v>
      </c>
      <c r="L1041">
        <v>605</v>
      </c>
      <c r="M1041">
        <v>16.761904761904699</v>
      </c>
      <c r="N1041" t="s">
        <v>18</v>
      </c>
      <c r="O1041">
        <v>0</v>
      </c>
    </row>
    <row r="1042" spans="1:15" x14ac:dyDescent="0.35">
      <c r="A1042">
        <v>1041</v>
      </c>
      <c r="B1042" t="s">
        <v>22</v>
      </c>
      <c r="C1042" t="s">
        <v>16</v>
      </c>
      <c r="D1042" s="1">
        <v>45478</v>
      </c>
      <c r="E1042" t="s">
        <v>30</v>
      </c>
      <c r="F1042">
        <v>23</v>
      </c>
      <c r="G1042">
        <v>255</v>
      </c>
      <c r="H1042">
        <v>10</v>
      </c>
      <c r="I1042">
        <v>1084</v>
      </c>
      <c r="J1042">
        <v>537</v>
      </c>
      <c r="K1042">
        <v>229</v>
      </c>
      <c r="L1042">
        <v>110</v>
      </c>
      <c r="M1042">
        <v>1.80811808118081</v>
      </c>
      <c r="N1042" t="s">
        <v>21</v>
      </c>
      <c r="O1042">
        <v>0</v>
      </c>
    </row>
    <row r="1043" spans="1:15" x14ac:dyDescent="0.35">
      <c r="A1043">
        <v>1042</v>
      </c>
      <c r="B1043" t="s">
        <v>22</v>
      </c>
      <c r="C1043" t="s">
        <v>16</v>
      </c>
      <c r="D1043" s="1">
        <v>45366</v>
      </c>
      <c r="E1043" t="s">
        <v>30</v>
      </c>
      <c r="F1043">
        <v>15</v>
      </c>
      <c r="G1043">
        <v>94</v>
      </c>
      <c r="H1043">
        <v>1</v>
      </c>
      <c r="I1043">
        <v>2481</v>
      </c>
      <c r="J1043">
        <v>229</v>
      </c>
      <c r="K1043">
        <v>513</v>
      </c>
      <c r="L1043">
        <v>697</v>
      </c>
      <c r="M1043">
        <v>1.58000806126561</v>
      </c>
      <c r="N1043" t="s">
        <v>23</v>
      </c>
      <c r="O1043">
        <v>0</v>
      </c>
    </row>
    <row r="1044" spans="1:15" x14ac:dyDescent="0.35">
      <c r="A1044">
        <v>1043</v>
      </c>
      <c r="B1044" t="s">
        <v>26</v>
      </c>
      <c r="C1044" t="s">
        <v>19</v>
      </c>
      <c r="D1044" s="1">
        <v>45455</v>
      </c>
      <c r="E1044" t="s">
        <v>25</v>
      </c>
      <c r="F1044">
        <v>21</v>
      </c>
      <c r="G1044">
        <v>130</v>
      </c>
      <c r="H1044">
        <v>15</v>
      </c>
      <c r="I1044">
        <v>2580</v>
      </c>
      <c r="J1044">
        <v>519</v>
      </c>
      <c r="K1044">
        <v>128</v>
      </c>
      <c r="L1044">
        <v>281</v>
      </c>
      <c r="M1044">
        <v>1.35968992248062</v>
      </c>
      <c r="N1044" t="s">
        <v>23</v>
      </c>
      <c r="O1044">
        <v>0</v>
      </c>
    </row>
    <row r="1045" spans="1:15" x14ac:dyDescent="0.35">
      <c r="A1045">
        <v>1044</v>
      </c>
      <c r="B1045" t="s">
        <v>26</v>
      </c>
      <c r="C1045" t="s">
        <v>16</v>
      </c>
      <c r="D1045" s="1">
        <v>45441</v>
      </c>
      <c r="E1045" t="s">
        <v>25</v>
      </c>
      <c r="F1045">
        <v>13</v>
      </c>
      <c r="G1045">
        <v>46</v>
      </c>
      <c r="H1045">
        <v>5</v>
      </c>
      <c r="I1045">
        <v>3135</v>
      </c>
      <c r="J1045">
        <v>65</v>
      </c>
      <c r="K1045">
        <v>343</v>
      </c>
      <c r="L1045">
        <v>157</v>
      </c>
      <c r="M1045">
        <v>1.1802232854864401</v>
      </c>
      <c r="N1045" t="s">
        <v>23</v>
      </c>
      <c r="O1045">
        <v>0</v>
      </c>
    </row>
    <row r="1046" spans="1:15" x14ac:dyDescent="0.35">
      <c r="A1046">
        <v>1045</v>
      </c>
      <c r="B1046" t="s">
        <v>26</v>
      </c>
      <c r="C1046" t="s">
        <v>24</v>
      </c>
      <c r="D1046" s="1">
        <v>45541</v>
      </c>
      <c r="E1046" t="s">
        <v>30</v>
      </c>
      <c r="F1046">
        <v>16</v>
      </c>
      <c r="G1046">
        <v>236</v>
      </c>
      <c r="H1046">
        <v>15</v>
      </c>
      <c r="I1046">
        <v>3259</v>
      </c>
      <c r="J1046">
        <v>311</v>
      </c>
      <c r="K1046">
        <v>165</v>
      </c>
      <c r="L1046">
        <v>23</v>
      </c>
      <c r="M1046">
        <v>1.15311445228597</v>
      </c>
      <c r="N1046" t="s">
        <v>23</v>
      </c>
      <c r="O1046">
        <v>0</v>
      </c>
    </row>
    <row r="1047" spans="1:15" x14ac:dyDescent="0.35">
      <c r="A1047">
        <v>1046</v>
      </c>
      <c r="B1047" t="s">
        <v>26</v>
      </c>
      <c r="C1047" t="s">
        <v>24</v>
      </c>
      <c r="D1047" s="1">
        <v>45470</v>
      </c>
      <c r="E1047" t="s">
        <v>27</v>
      </c>
      <c r="F1047">
        <v>15</v>
      </c>
      <c r="G1047">
        <v>119</v>
      </c>
      <c r="H1047">
        <v>17</v>
      </c>
      <c r="I1047">
        <v>3256</v>
      </c>
      <c r="J1047">
        <v>405</v>
      </c>
      <c r="K1047">
        <v>75</v>
      </c>
      <c r="L1047">
        <v>541</v>
      </c>
      <c r="M1047">
        <v>1.31357493857493</v>
      </c>
      <c r="N1047" t="s">
        <v>23</v>
      </c>
      <c r="O1047">
        <v>0</v>
      </c>
    </row>
    <row r="1048" spans="1:15" x14ac:dyDescent="0.35">
      <c r="A1048">
        <v>1047</v>
      </c>
      <c r="B1048" t="s">
        <v>15</v>
      </c>
      <c r="C1048" t="s">
        <v>19</v>
      </c>
      <c r="D1048" s="1">
        <v>45493</v>
      </c>
      <c r="E1048" t="s">
        <v>28</v>
      </c>
      <c r="F1048">
        <v>15</v>
      </c>
      <c r="G1048">
        <v>254</v>
      </c>
      <c r="H1048">
        <v>20</v>
      </c>
      <c r="I1048">
        <v>847</v>
      </c>
      <c r="J1048">
        <v>139</v>
      </c>
      <c r="K1048">
        <v>333</v>
      </c>
      <c r="L1048">
        <v>595</v>
      </c>
      <c r="M1048">
        <v>2.2597402597402598</v>
      </c>
      <c r="N1048" t="s">
        <v>21</v>
      </c>
      <c r="O1048">
        <v>0</v>
      </c>
    </row>
    <row r="1049" spans="1:15" x14ac:dyDescent="0.35">
      <c r="A1049">
        <v>1048</v>
      </c>
      <c r="B1049" t="s">
        <v>22</v>
      </c>
      <c r="C1049" t="s">
        <v>16</v>
      </c>
      <c r="D1049" s="1">
        <v>45375</v>
      </c>
      <c r="E1049" t="s">
        <v>20</v>
      </c>
      <c r="F1049">
        <v>12</v>
      </c>
      <c r="G1049">
        <v>131</v>
      </c>
      <c r="H1049">
        <v>6</v>
      </c>
      <c r="I1049">
        <v>4778</v>
      </c>
      <c r="J1049">
        <v>145</v>
      </c>
      <c r="K1049">
        <v>454</v>
      </c>
      <c r="L1049">
        <v>495</v>
      </c>
      <c r="M1049">
        <v>1.2289660946002501</v>
      </c>
      <c r="N1049" t="s">
        <v>23</v>
      </c>
      <c r="O1049">
        <v>0</v>
      </c>
    </row>
    <row r="1050" spans="1:15" x14ac:dyDescent="0.35">
      <c r="A1050">
        <v>1049</v>
      </c>
      <c r="B1050" t="s">
        <v>26</v>
      </c>
      <c r="C1050" t="s">
        <v>16</v>
      </c>
      <c r="D1050" s="1">
        <v>45296</v>
      </c>
      <c r="E1050" t="s">
        <v>30</v>
      </c>
      <c r="F1050">
        <v>18</v>
      </c>
      <c r="G1050">
        <v>238</v>
      </c>
      <c r="H1050">
        <v>5</v>
      </c>
      <c r="I1050">
        <v>3017</v>
      </c>
      <c r="J1050">
        <v>748</v>
      </c>
      <c r="K1050">
        <v>591</v>
      </c>
      <c r="L1050">
        <v>105</v>
      </c>
      <c r="M1050">
        <v>1.4786211468346</v>
      </c>
      <c r="N1050" t="s">
        <v>23</v>
      </c>
      <c r="O1050">
        <v>0</v>
      </c>
    </row>
    <row r="1051" spans="1:15" x14ac:dyDescent="0.35">
      <c r="A1051">
        <v>1050</v>
      </c>
      <c r="B1051" t="s">
        <v>15</v>
      </c>
      <c r="C1051" t="s">
        <v>16</v>
      </c>
      <c r="D1051" s="1">
        <v>45320</v>
      </c>
      <c r="E1051" t="s">
        <v>29</v>
      </c>
      <c r="F1051">
        <v>22</v>
      </c>
      <c r="G1051">
        <v>193</v>
      </c>
      <c r="H1051">
        <v>18</v>
      </c>
      <c r="I1051">
        <v>836</v>
      </c>
      <c r="J1051">
        <v>369</v>
      </c>
      <c r="K1051">
        <v>487</v>
      </c>
      <c r="L1051">
        <v>184</v>
      </c>
      <c r="M1051">
        <v>2.2440191387559798</v>
      </c>
      <c r="N1051" t="s">
        <v>21</v>
      </c>
      <c r="O1051">
        <v>0</v>
      </c>
    </row>
    <row r="1052" spans="1:15" x14ac:dyDescent="0.35">
      <c r="A1052">
        <v>1051</v>
      </c>
      <c r="B1052" t="s">
        <v>15</v>
      </c>
      <c r="C1052" t="s">
        <v>16</v>
      </c>
      <c r="D1052" s="1">
        <v>45514</v>
      </c>
      <c r="E1052" t="s">
        <v>28</v>
      </c>
      <c r="F1052">
        <v>13</v>
      </c>
      <c r="G1052">
        <v>223</v>
      </c>
      <c r="H1052">
        <v>15</v>
      </c>
      <c r="I1052">
        <v>1267</v>
      </c>
      <c r="J1052">
        <v>647</v>
      </c>
      <c r="K1052">
        <v>415</v>
      </c>
      <c r="L1052">
        <v>251</v>
      </c>
      <c r="M1052">
        <v>2.03630623520126</v>
      </c>
      <c r="N1052" t="s">
        <v>21</v>
      </c>
      <c r="O1052">
        <v>0</v>
      </c>
    </row>
    <row r="1053" spans="1:15" x14ac:dyDescent="0.35">
      <c r="A1053">
        <v>1052</v>
      </c>
      <c r="B1053" t="s">
        <v>26</v>
      </c>
      <c r="C1053" t="s">
        <v>16</v>
      </c>
      <c r="D1053" s="1">
        <v>45446</v>
      </c>
      <c r="E1053" t="s">
        <v>29</v>
      </c>
      <c r="F1053">
        <v>20</v>
      </c>
      <c r="G1053">
        <v>215</v>
      </c>
      <c r="H1053">
        <v>8</v>
      </c>
      <c r="I1053">
        <v>4933</v>
      </c>
      <c r="J1053">
        <v>181</v>
      </c>
      <c r="K1053">
        <v>386</v>
      </c>
      <c r="L1053">
        <v>687</v>
      </c>
      <c r="M1053">
        <v>1.25420636529495</v>
      </c>
      <c r="N1053" t="s">
        <v>23</v>
      </c>
      <c r="O1053">
        <v>0</v>
      </c>
    </row>
    <row r="1054" spans="1:15" x14ac:dyDescent="0.35">
      <c r="A1054">
        <v>1053</v>
      </c>
      <c r="B1054" t="s">
        <v>15</v>
      </c>
      <c r="C1054" t="s">
        <v>16</v>
      </c>
      <c r="D1054" s="1">
        <v>45519</v>
      </c>
      <c r="E1054" t="s">
        <v>27</v>
      </c>
      <c r="F1054">
        <v>21</v>
      </c>
      <c r="G1054">
        <v>280</v>
      </c>
      <c r="H1054">
        <v>7</v>
      </c>
      <c r="I1054">
        <v>3059</v>
      </c>
      <c r="J1054">
        <v>16</v>
      </c>
      <c r="K1054">
        <v>124</v>
      </c>
      <c r="L1054">
        <v>120</v>
      </c>
      <c r="M1054">
        <v>1.0849950964367401</v>
      </c>
      <c r="N1054" t="s">
        <v>23</v>
      </c>
      <c r="O1054">
        <v>0</v>
      </c>
    </row>
    <row r="1055" spans="1:15" x14ac:dyDescent="0.35">
      <c r="A1055">
        <v>1054</v>
      </c>
      <c r="B1055" t="s">
        <v>22</v>
      </c>
      <c r="C1055" t="s">
        <v>19</v>
      </c>
      <c r="D1055" s="1">
        <v>45303</v>
      </c>
      <c r="E1055" t="s">
        <v>30</v>
      </c>
      <c r="F1055">
        <v>9</v>
      </c>
      <c r="G1055">
        <v>112</v>
      </c>
      <c r="H1055">
        <v>12</v>
      </c>
      <c r="I1055">
        <v>4857</v>
      </c>
      <c r="J1055">
        <v>591</v>
      </c>
      <c r="K1055">
        <v>588</v>
      </c>
      <c r="L1055">
        <v>492</v>
      </c>
      <c r="M1055">
        <v>1.3440395305744199</v>
      </c>
      <c r="N1055" t="s">
        <v>23</v>
      </c>
      <c r="O1055">
        <v>0</v>
      </c>
    </row>
    <row r="1056" spans="1:15" x14ac:dyDescent="0.35">
      <c r="A1056">
        <v>1055</v>
      </c>
      <c r="B1056" t="s">
        <v>15</v>
      </c>
      <c r="C1056" t="s">
        <v>24</v>
      </c>
      <c r="D1056" s="1">
        <v>45539</v>
      </c>
      <c r="E1056" t="s">
        <v>25</v>
      </c>
      <c r="F1056">
        <v>8</v>
      </c>
      <c r="G1056">
        <v>295</v>
      </c>
      <c r="H1056">
        <v>5</v>
      </c>
      <c r="I1056">
        <v>3602</v>
      </c>
      <c r="J1056">
        <v>310</v>
      </c>
      <c r="K1056">
        <v>587</v>
      </c>
      <c r="L1056">
        <v>129</v>
      </c>
      <c r="M1056">
        <v>1.28484175458078</v>
      </c>
      <c r="N1056" t="s">
        <v>23</v>
      </c>
      <c r="O1056">
        <v>0</v>
      </c>
    </row>
    <row r="1057" spans="1:15" x14ac:dyDescent="0.35">
      <c r="A1057">
        <v>1056</v>
      </c>
      <c r="B1057" t="s">
        <v>26</v>
      </c>
      <c r="C1057" t="s">
        <v>24</v>
      </c>
      <c r="D1057" s="1">
        <v>45499</v>
      </c>
      <c r="E1057" t="s">
        <v>30</v>
      </c>
      <c r="F1057">
        <v>8</v>
      </c>
      <c r="G1057">
        <v>285</v>
      </c>
      <c r="H1057">
        <v>18</v>
      </c>
      <c r="I1057">
        <v>211</v>
      </c>
      <c r="J1057">
        <v>408</v>
      </c>
      <c r="K1057">
        <v>571</v>
      </c>
      <c r="L1057">
        <v>550</v>
      </c>
      <c r="M1057">
        <v>8.2464454976303294</v>
      </c>
      <c r="N1057" t="s">
        <v>18</v>
      </c>
      <c r="O1057">
        <v>1</v>
      </c>
    </row>
    <row r="1058" spans="1:15" x14ac:dyDescent="0.35">
      <c r="A1058">
        <v>1057</v>
      </c>
      <c r="B1058" t="s">
        <v>15</v>
      </c>
      <c r="C1058" t="s">
        <v>16</v>
      </c>
      <c r="D1058" s="1">
        <v>45567</v>
      </c>
      <c r="E1058" t="s">
        <v>25</v>
      </c>
      <c r="F1058">
        <v>11</v>
      </c>
      <c r="G1058">
        <v>22</v>
      </c>
      <c r="H1058">
        <v>17</v>
      </c>
      <c r="I1058">
        <v>1066</v>
      </c>
      <c r="J1058">
        <v>776</v>
      </c>
      <c r="K1058">
        <v>214</v>
      </c>
      <c r="L1058">
        <v>675</v>
      </c>
      <c r="M1058">
        <v>2.5619136960600302</v>
      </c>
      <c r="N1058" t="s">
        <v>18</v>
      </c>
      <c r="O1058">
        <v>0</v>
      </c>
    </row>
    <row r="1059" spans="1:15" x14ac:dyDescent="0.35">
      <c r="A1059">
        <v>1058</v>
      </c>
      <c r="B1059" t="s">
        <v>26</v>
      </c>
      <c r="C1059" t="s">
        <v>16</v>
      </c>
      <c r="D1059" s="1">
        <v>45520</v>
      </c>
      <c r="E1059" t="s">
        <v>30</v>
      </c>
      <c r="F1059">
        <v>11</v>
      </c>
      <c r="G1059">
        <v>64</v>
      </c>
      <c r="H1059">
        <v>17</v>
      </c>
      <c r="I1059">
        <v>2624</v>
      </c>
      <c r="J1059">
        <v>130</v>
      </c>
      <c r="K1059">
        <v>42</v>
      </c>
      <c r="L1059">
        <v>132</v>
      </c>
      <c r="M1059">
        <v>1.1158536585365799</v>
      </c>
      <c r="N1059" t="s">
        <v>23</v>
      </c>
      <c r="O1059">
        <v>0</v>
      </c>
    </row>
    <row r="1060" spans="1:15" x14ac:dyDescent="0.35">
      <c r="A1060">
        <v>1059</v>
      </c>
      <c r="B1060" t="s">
        <v>22</v>
      </c>
      <c r="C1060" t="s">
        <v>24</v>
      </c>
      <c r="D1060" s="1">
        <v>45423</v>
      </c>
      <c r="E1060" t="s">
        <v>28</v>
      </c>
      <c r="F1060">
        <v>23</v>
      </c>
      <c r="G1060">
        <v>107</v>
      </c>
      <c r="H1060">
        <v>13</v>
      </c>
      <c r="I1060">
        <v>336</v>
      </c>
      <c r="J1060">
        <v>91</v>
      </c>
      <c r="K1060">
        <v>129</v>
      </c>
      <c r="L1060">
        <v>519</v>
      </c>
      <c r="M1060">
        <v>3.1994047619047601</v>
      </c>
      <c r="N1060" t="s">
        <v>18</v>
      </c>
      <c r="O1060">
        <v>0</v>
      </c>
    </row>
    <row r="1061" spans="1:15" x14ac:dyDescent="0.35">
      <c r="A1061">
        <v>1060</v>
      </c>
      <c r="B1061" t="s">
        <v>22</v>
      </c>
      <c r="C1061" t="s">
        <v>19</v>
      </c>
      <c r="D1061" s="1">
        <v>45292</v>
      </c>
      <c r="E1061" t="s">
        <v>29</v>
      </c>
      <c r="F1061">
        <v>23</v>
      </c>
      <c r="G1061">
        <v>247</v>
      </c>
      <c r="H1061">
        <v>4</v>
      </c>
      <c r="I1061">
        <v>2084</v>
      </c>
      <c r="J1061">
        <v>312</v>
      </c>
      <c r="K1061">
        <v>49</v>
      </c>
      <c r="L1061">
        <v>532</v>
      </c>
      <c r="M1061">
        <v>1.42850287907869</v>
      </c>
      <c r="N1061" t="s">
        <v>23</v>
      </c>
      <c r="O1061">
        <v>0</v>
      </c>
    </row>
    <row r="1062" spans="1:15" x14ac:dyDescent="0.35">
      <c r="A1062">
        <v>1061</v>
      </c>
      <c r="B1062" t="s">
        <v>22</v>
      </c>
      <c r="C1062" t="s">
        <v>19</v>
      </c>
      <c r="D1062" s="1">
        <v>45587</v>
      </c>
      <c r="E1062" t="s">
        <v>17</v>
      </c>
      <c r="F1062">
        <v>23</v>
      </c>
      <c r="G1062">
        <v>281</v>
      </c>
      <c r="H1062">
        <v>6</v>
      </c>
      <c r="I1062">
        <v>4067</v>
      </c>
      <c r="J1062">
        <v>716</v>
      </c>
      <c r="K1062">
        <v>322</v>
      </c>
      <c r="L1062">
        <v>536</v>
      </c>
      <c r="M1062">
        <v>1.3870174575854399</v>
      </c>
      <c r="N1062" t="s">
        <v>23</v>
      </c>
      <c r="O1062">
        <v>0</v>
      </c>
    </row>
    <row r="1063" spans="1:15" x14ac:dyDescent="0.35">
      <c r="A1063">
        <v>1062</v>
      </c>
      <c r="B1063" t="s">
        <v>15</v>
      </c>
      <c r="C1063" t="s">
        <v>24</v>
      </c>
      <c r="D1063" s="1">
        <v>45342</v>
      </c>
      <c r="E1063" t="s">
        <v>17</v>
      </c>
      <c r="F1063">
        <v>12</v>
      </c>
      <c r="G1063">
        <v>88</v>
      </c>
      <c r="H1063">
        <v>19</v>
      </c>
      <c r="I1063">
        <v>416</v>
      </c>
      <c r="J1063">
        <v>247</v>
      </c>
      <c r="K1063">
        <v>39</v>
      </c>
      <c r="L1063">
        <v>193</v>
      </c>
      <c r="M1063">
        <v>2.1514423076922999</v>
      </c>
      <c r="N1063" t="s">
        <v>21</v>
      </c>
      <c r="O1063">
        <v>0</v>
      </c>
    </row>
    <row r="1064" spans="1:15" x14ac:dyDescent="0.35">
      <c r="A1064">
        <v>1063</v>
      </c>
      <c r="B1064" t="s">
        <v>15</v>
      </c>
      <c r="C1064" t="s">
        <v>19</v>
      </c>
      <c r="D1064" s="1">
        <v>45574</v>
      </c>
      <c r="E1064" t="s">
        <v>25</v>
      </c>
      <c r="F1064">
        <v>19</v>
      </c>
      <c r="G1064">
        <v>58</v>
      </c>
      <c r="H1064">
        <v>17</v>
      </c>
      <c r="I1064">
        <v>1819</v>
      </c>
      <c r="J1064">
        <v>610</v>
      </c>
      <c r="K1064">
        <v>369</v>
      </c>
      <c r="L1064">
        <v>285</v>
      </c>
      <c r="M1064">
        <v>1.6948873007146701</v>
      </c>
      <c r="N1064" t="s">
        <v>21</v>
      </c>
      <c r="O1064">
        <v>0</v>
      </c>
    </row>
    <row r="1065" spans="1:15" x14ac:dyDescent="0.35">
      <c r="A1065">
        <v>1064</v>
      </c>
      <c r="B1065" t="s">
        <v>22</v>
      </c>
      <c r="C1065" t="s">
        <v>16</v>
      </c>
      <c r="D1065" s="1">
        <v>45422</v>
      </c>
      <c r="E1065" t="s">
        <v>30</v>
      </c>
      <c r="F1065">
        <v>14</v>
      </c>
      <c r="G1065">
        <v>237</v>
      </c>
      <c r="H1065">
        <v>4</v>
      </c>
      <c r="I1065">
        <v>2185</v>
      </c>
      <c r="J1065">
        <v>395</v>
      </c>
      <c r="K1065">
        <v>169</v>
      </c>
      <c r="L1065">
        <v>410</v>
      </c>
      <c r="M1065">
        <v>1.44576659038901</v>
      </c>
      <c r="N1065" t="s">
        <v>23</v>
      </c>
      <c r="O1065">
        <v>0</v>
      </c>
    </row>
    <row r="1066" spans="1:15" x14ac:dyDescent="0.35">
      <c r="A1066">
        <v>1065</v>
      </c>
      <c r="B1066" t="s">
        <v>26</v>
      </c>
      <c r="C1066" t="s">
        <v>19</v>
      </c>
      <c r="D1066" s="1">
        <v>45566</v>
      </c>
      <c r="E1066" t="s">
        <v>17</v>
      </c>
      <c r="F1066">
        <v>12</v>
      </c>
      <c r="G1066">
        <v>210</v>
      </c>
      <c r="H1066">
        <v>18</v>
      </c>
      <c r="I1066">
        <v>1719</v>
      </c>
      <c r="J1066">
        <v>77</v>
      </c>
      <c r="K1066">
        <v>277</v>
      </c>
      <c r="L1066">
        <v>649</v>
      </c>
      <c r="M1066">
        <v>1.58347876672484</v>
      </c>
      <c r="N1066" t="s">
        <v>23</v>
      </c>
      <c r="O1066">
        <v>0</v>
      </c>
    </row>
    <row r="1067" spans="1:15" x14ac:dyDescent="0.35">
      <c r="A1067">
        <v>1066</v>
      </c>
      <c r="B1067" t="s">
        <v>22</v>
      </c>
      <c r="C1067" t="s">
        <v>24</v>
      </c>
      <c r="D1067" s="1">
        <v>45553</v>
      </c>
      <c r="E1067" t="s">
        <v>25</v>
      </c>
      <c r="F1067">
        <v>6</v>
      </c>
      <c r="G1067">
        <v>146</v>
      </c>
      <c r="H1067">
        <v>2</v>
      </c>
      <c r="I1067">
        <v>1393</v>
      </c>
      <c r="J1067">
        <v>434</v>
      </c>
      <c r="K1067">
        <v>159</v>
      </c>
      <c r="L1067">
        <v>324</v>
      </c>
      <c r="M1067">
        <v>1.65829145728643</v>
      </c>
      <c r="N1067" t="s">
        <v>21</v>
      </c>
      <c r="O1067">
        <v>0</v>
      </c>
    </row>
    <row r="1068" spans="1:15" x14ac:dyDescent="0.35">
      <c r="A1068">
        <v>1067</v>
      </c>
      <c r="B1068" t="s">
        <v>22</v>
      </c>
      <c r="C1068" t="s">
        <v>16</v>
      </c>
      <c r="D1068" s="1">
        <v>45430</v>
      </c>
      <c r="E1068" t="s">
        <v>28</v>
      </c>
      <c r="F1068">
        <v>16</v>
      </c>
      <c r="G1068">
        <v>65</v>
      </c>
      <c r="H1068">
        <v>11</v>
      </c>
      <c r="I1068">
        <v>1070</v>
      </c>
      <c r="J1068">
        <v>549</v>
      </c>
      <c r="K1068">
        <v>114</v>
      </c>
      <c r="L1068">
        <v>562</v>
      </c>
      <c r="M1068">
        <v>2.1448598130841101</v>
      </c>
      <c r="N1068" t="s">
        <v>21</v>
      </c>
      <c r="O1068">
        <v>0</v>
      </c>
    </row>
    <row r="1069" spans="1:15" x14ac:dyDescent="0.35">
      <c r="A1069">
        <v>1068</v>
      </c>
      <c r="B1069" t="s">
        <v>15</v>
      </c>
      <c r="C1069" t="s">
        <v>16</v>
      </c>
      <c r="D1069" s="1">
        <v>45462</v>
      </c>
      <c r="E1069" t="s">
        <v>25</v>
      </c>
      <c r="F1069">
        <v>18</v>
      </c>
      <c r="G1069">
        <v>133</v>
      </c>
      <c r="H1069">
        <v>12</v>
      </c>
      <c r="I1069">
        <v>2288</v>
      </c>
      <c r="J1069">
        <v>154</v>
      </c>
      <c r="K1069">
        <v>233</v>
      </c>
      <c r="L1069">
        <v>281</v>
      </c>
      <c r="M1069">
        <v>1.2919580419580401</v>
      </c>
      <c r="N1069" t="s">
        <v>23</v>
      </c>
      <c r="O1069">
        <v>0</v>
      </c>
    </row>
    <row r="1070" spans="1:15" x14ac:dyDescent="0.35">
      <c r="A1070">
        <v>1069</v>
      </c>
      <c r="B1070" t="s">
        <v>26</v>
      </c>
      <c r="C1070" t="s">
        <v>24</v>
      </c>
      <c r="D1070" s="1">
        <v>45345</v>
      </c>
      <c r="E1070" t="s">
        <v>30</v>
      </c>
      <c r="F1070">
        <v>9</v>
      </c>
      <c r="G1070">
        <v>290</v>
      </c>
      <c r="H1070">
        <v>11</v>
      </c>
      <c r="I1070">
        <v>1061</v>
      </c>
      <c r="J1070">
        <v>184</v>
      </c>
      <c r="K1070">
        <v>541</v>
      </c>
      <c r="L1070">
        <v>314</v>
      </c>
      <c r="M1070">
        <v>1.9792648444863301</v>
      </c>
      <c r="N1070" t="s">
        <v>21</v>
      </c>
      <c r="O1070">
        <v>0</v>
      </c>
    </row>
    <row r="1071" spans="1:15" x14ac:dyDescent="0.35">
      <c r="A1071">
        <v>1070</v>
      </c>
      <c r="B1071" t="s">
        <v>15</v>
      </c>
      <c r="C1071" t="s">
        <v>16</v>
      </c>
      <c r="D1071" s="1">
        <v>45584</v>
      </c>
      <c r="E1071" t="s">
        <v>28</v>
      </c>
      <c r="F1071">
        <v>11</v>
      </c>
      <c r="G1071">
        <v>182</v>
      </c>
      <c r="H1071">
        <v>12</v>
      </c>
      <c r="I1071">
        <v>2360</v>
      </c>
      <c r="J1071">
        <v>569</v>
      </c>
      <c r="K1071">
        <v>279</v>
      </c>
      <c r="L1071">
        <v>623</v>
      </c>
      <c r="M1071">
        <v>1.62330508474576</v>
      </c>
      <c r="N1071" t="s">
        <v>21</v>
      </c>
      <c r="O1071">
        <v>0</v>
      </c>
    </row>
    <row r="1072" spans="1:15" x14ac:dyDescent="0.35">
      <c r="A1072">
        <v>1071</v>
      </c>
      <c r="B1072" t="s">
        <v>26</v>
      </c>
      <c r="C1072" t="s">
        <v>24</v>
      </c>
      <c r="D1072" s="1">
        <v>45384</v>
      </c>
      <c r="E1072" t="s">
        <v>17</v>
      </c>
      <c r="F1072">
        <v>21</v>
      </c>
      <c r="G1072">
        <v>85</v>
      </c>
      <c r="H1072">
        <v>8</v>
      </c>
      <c r="I1072">
        <v>2877</v>
      </c>
      <c r="J1072">
        <v>764</v>
      </c>
      <c r="K1072">
        <v>546</v>
      </c>
      <c r="L1072">
        <v>565</v>
      </c>
      <c r="M1072">
        <v>1.65172054223149</v>
      </c>
      <c r="N1072" t="s">
        <v>21</v>
      </c>
      <c r="O1072">
        <v>0</v>
      </c>
    </row>
    <row r="1073" spans="1:15" x14ac:dyDescent="0.35">
      <c r="A1073">
        <v>1072</v>
      </c>
      <c r="B1073" t="s">
        <v>15</v>
      </c>
      <c r="C1073" t="s">
        <v>16</v>
      </c>
      <c r="D1073" s="1">
        <v>45296</v>
      </c>
      <c r="E1073" t="s">
        <v>30</v>
      </c>
      <c r="F1073">
        <v>18</v>
      </c>
      <c r="G1073">
        <v>156</v>
      </c>
      <c r="H1073">
        <v>1</v>
      </c>
      <c r="I1073">
        <v>4257</v>
      </c>
      <c r="J1073">
        <v>735</v>
      </c>
      <c r="K1073">
        <v>161</v>
      </c>
      <c r="L1073">
        <v>674</v>
      </c>
      <c r="M1073">
        <v>1.36880432229269</v>
      </c>
      <c r="N1073" t="s">
        <v>23</v>
      </c>
      <c r="O1073">
        <v>0</v>
      </c>
    </row>
    <row r="1074" spans="1:15" x14ac:dyDescent="0.35">
      <c r="A1074">
        <v>1073</v>
      </c>
      <c r="B1074" t="s">
        <v>15</v>
      </c>
      <c r="C1074" t="s">
        <v>24</v>
      </c>
      <c r="D1074" s="1">
        <v>45481</v>
      </c>
      <c r="E1074" t="s">
        <v>29</v>
      </c>
      <c r="F1074">
        <v>17</v>
      </c>
      <c r="G1074">
        <v>259</v>
      </c>
      <c r="H1074">
        <v>16</v>
      </c>
      <c r="I1074">
        <v>2090</v>
      </c>
      <c r="J1074">
        <v>699</v>
      </c>
      <c r="K1074">
        <v>430</v>
      </c>
      <c r="L1074">
        <v>469</v>
      </c>
      <c r="M1074">
        <v>1.7645933014354001</v>
      </c>
      <c r="N1074" t="s">
        <v>21</v>
      </c>
      <c r="O1074">
        <v>0</v>
      </c>
    </row>
    <row r="1075" spans="1:15" x14ac:dyDescent="0.35">
      <c r="A1075">
        <v>1074</v>
      </c>
      <c r="B1075" t="s">
        <v>22</v>
      </c>
      <c r="C1075" t="s">
        <v>19</v>
      </c>
      <c r="D1075" s="1">
        <v>45438</v>
      </c>
      <c r="E1075" t="s">
        <v>20</v>
      </c>
      <c r="F1075">
        <v>8</v>
      </c>
      <c r="G1075">
        <v>176</v>
      </c>
      <c r="H1075">
        <v>13</v>
      </c>
      <c r="I1075">
        <v>2309</v>
      </c>
      <c r="J1075">
        <v>443</v>
      </c>
      <c r="K1075">
        <v>535</v>
      </c>
      <c r="L1075">
        <v>235</v>
      </c>
      <c r="M1075">
        <v>1.52533564313555</v>
      </c>
      <c r="N1075" t="s">
        <v>23</v>
      </c>
      <c r="O1075">
        <v>0</v>
      </c>
    </row>
    <row r="1076" spans="1:15" x14ac:dyDescent="0.35">
      <c r="A1076">
        <v>1075</v>
      </c>
      <c r="B1076" t="s">
        <v>26</v>
      </c>
      <c r="C1076" t="s">
        <v>16</v>
      </c>
      <c r="D1076" s="1">
        <v>45452</v>
      </c>
      <c r="E1076" t="s">
        <v>20</v>
      </c>
      <c r="F1076">
        <v>8</v>
      </c>
      <c r="G1076">
        <v>104</v>
      </c>
      <c r="H1076">
        <v>18</v>
      </c>
      <c r="I1076">
        <v>788</v>
      </c>
      <c r="J1076">
        <v>654</v>
      </c>
      <c r="K1076">
        <v>83</v>
      </c>
      <c r="L1076">
        <v>79</v>
      </c>
      <c r="M1076">
        <v>2.0355329949238499</v>
      </c>
      <c r="N1076" t="s">
        <v>21</v>
      </c>
      <c r="O1076">
        <v>0</v>
      </c>
    </row>
    <row r="1077" spans="1:15" x14ac:dyDescent="0.35">
      <c r="A1077">
        <v>1076</v>
      </c>
      <c r="B1077" t="s">
        <v>22</v>
      </c>
      <c r="C1077" t="s">
        <v>16</v>
      </c>
      <c r="D1077" s="1">
        <v>45321</v>
      </c>
      <c r="E1077" t="s">
        <v>17</v>
      </c>
      <c r="F1077">
        <v>19</v>
      </c>
      <c r="G1077">
        <v>280</v>
      </c>
      <c r="H1077">
        <v>4</v>
      </c>
      <c r="I1077">
        <v>742</v>
      </c>
      <c r="J1077">
        <v>766</v>
      </c>
      <c r="K1077">
        <v>294</v>
      </c>
      <c r="L1077">
        <v>568</v>
      </c>
      <c r="M1077">
        <v>3.19407008086253</v>
      </c>
      <c r="N1077" t="s">
        <v>18</v>
      </c>
      <c r="O1077">
        <v>0</v>
      </c>
    </row>
    <row r="1078" spans="1:15" x14ac:dyDescent="0.35">
      <c r="A1078">
        <v>1077</v>
      </c>
      <c r="B1078" t="s">
        <v>22</v>
      </c>
      <c r="C1078" t="s">
        <v>16</v>
      </c>
      <c r="D1078" s="1">
        <v>45537</v>
      </c>
      <c r="E1078" t="s">
        <v>29</v>
      </c>
      <c r="F1078">
        <v>12</v>
      </c>
      <c r="G1078">
        <v>23</v>
      </c>
      <c r="H1078">
        <v>13</v>
      </c>
      <c r="I1078">
        <v>4128</v>
      </c>
      <c r="J1078">
        <v>532</v>
      </c>
      <c r="K1078">
        <v>547</v>
      </c>
      <c r="L1078">
        <v>128</v>
      </c>
      <c r="M1078">
        <v>1.29239341085271</v>
      </c>
      <c r="N1078" t="s">
        <v>23</v>
      </c>
      <c r="O1078">
        <v>0</v>
      </c>
    </row>
    <row r="1079" spans="1:15" x14ac:dyDescent="0.35">
      <c r="A1079">
        <v>1078</v>
      </c>
      <c r="B1079" t="s">
        <v>15</v>
      </c>
      <c r="C1079" t="s">
        <v>19</v>
      </c>
      <c r="D1079" s="1">
        <v>45565</v>
      </c>
      <c r="E1079" t="s">
        <v>29</v>
      </c>
      <c r="F1079">
        <v>20</v>
      </c>
      <c r="G1079">
        <v>106</v>
      </c>
      <c r="H1079">
        <v>16</v>
      </c>
      <c r="I1079">
        <v>2876</v>
      </c>
      <c r="J1079">
        <v>255</v>
      </c>
      <c r="K1079">
        <v>542</v>
      </c>
      <c r="L1079">
        <v>624</v>
      </c>
      <c r="M1079">
        <v>1.49408901251738</v>
      </c>
      <c r="N1079" t="s">
        <v>23</v>
      </c>
      <c r="O1079">
        <v>0</v>
      </c>
    </row>
    <row r="1080" spans="1:15" x14ac:dyDescent="0.35">
      <c r="A1080">
        <v>1079</v>
      </c>
      <c r="B1080" t="s">
        <v>26</v>
      </c>
      <c r="C1080" t="s">
        <v>24</v>
      </c>
      <c r="D1080" s="1">
        <v>45407</v>
      </c>
      <c r="E1080" t="s">
        <v>27</v>
      </c>
      <c r="F1080">
        <v>7</v>
      </c>
      <c r="G1080">
        <v>236</v>
      </c>
      <c r="H1080">
        <v>15</v>
      </c>
      <c r="I1080">
        <v>1482</v>
      </c>
      <c r="J1080">
        <v>81</v>
      </c>
      <c r="K1080">
        <v>377</v>
      </c>
      <c r="L1080">
        <v>137</v>
      </c>
      <c r="M1080">
        <v>1.40148448043184</v>
      </c>
      <c r="N1080" t="s">
        <v>23</v>
      </c>
      <c r="O1080">
        <v>0</v>
      </c>
    </row>
    <row r="1081" spans="1:15" x14ac:dyDescent="0.35">
      <c r="A1081">
        <v>1080</v>
      </c>
      <c r="B1081" t="s">
        <v>26</v>
      </c>
      <c r="C1081" t="s">
        <v>16</v>
      </c>
      <c r="D1081" s="1">
        <v>45486</v>
      </c>
      <c r="E1081" t="s">
        <v>28</v>
      </c>
      <c r="F1081">
        <v>23</v>
      </c>
      <c r="G1081">
        <v>80</v>
      </c>
      <c r="H1081">
        <v>9</v>
      </c>
      <c r="I1081">
        <v>1446</v>
      </c>
      <c r="J1081">
        <v>387</v>
      </c>
      <c r="K1081">
        <v>117</v>
      </c>
      <c r="L1081">
        <v>347</v>
      </c>
      <c r="M1081">
        <v>1.58852005532503</v>
      </c>
      <c r="N1081" t="s">
        <v>23</v>
      </c>
      <c r="O1081">
        <v>0</v>
      </c>
    </row>
    <row r="1082" spans="1:15" x14ac:dyDescent="0.35">
      <c r="A1082">
        <v>1081</v>
      </c>
      <c r="B1082" t="s">
        <v>15</v>
      </c>
      <c r="C1082" t="s">
        <v>19</v>
      </c>
      <c r="D1082" s="1">
        <v>45445</v>
      </c>
      <c r="E1082" t="s">
        <v>20</v>
      </c>
      <c r="F1082">
        <v>18</v>
      </c>
      <c r="G1082">
        <v>131</v>
      </c>
      <c r="H1082">
        <v>9</v>
      </c>
      <c r="I1082">
        <v>4007</v>
      </c>
      <c r="J1082">
        <v>305</v>
      </c>
      <c r="K1082">
        <v>273</v>
      </c>
      <c r="L1082">
        <v>219</v>
      </c>
      <c r="M1082">
        <v>1.1989019216371299</v>
      </c>
      <c r="N1082" t="s">
        <v>23</v>
      </c>
      <c r="O1082">
        <v>0</v>
      </c>
    </row>
    <row r="1083" spans="1:15" x14ac:dyDescent="0.35">
      <c r="A1083">
        <v>1082</v>
      </c>
      <c r="B1083" t="s">
        <v>22</v>
      </c>
      <c r="C1083" t="s">
        <v>16</v>
      </c>
      <c r="D1083" s="1">
        <v>45555</v>
      </c>
      <c r="E1083" t="s">
        <v>30</v>
      </c>
      <c r="F1083">
        <v>20</v>
      </c>
      <c r="G1083">
        <v>188</v>
      </c>
      <c r="H1083">
        <v>9</v>
      </c>
      <c r="I1083">
        <v>340</v>
      </c>
      <c r="J1083">
        <v>479</v>
      </c>
      <c r="K1083">
        <v>501</v>
      </c>
      <c r="L1083">
        <v>59</v>
      </c>
      <c r="M1083">
        <v>4.0558823529411701</v>
      </c>
      <c r="N1083" t="s">
        <v>18</v>
      </c>
      <c r="O1083">
        <v>0</v>
      </c>
    </row>
    <row r="1084" spans="1:15" x14ac:dyDescent="0.35">
      <c r="A1084">
        <v>1083</v>
      </c>
      <c r="B1084" t="s">
        <v>22</v>
      </c>
      <c r="C1084" t="s">
        <v>24</v>
      </c>
      <c r="D1084" s="1">
        <v>45473</v>
      </c>
      <c r="E1084" t="s">
        <v>20</v>
      </c>
      <c r="F1084">
        <v>6</v>
      </c>
      <c r="G1084">
        <v>71</v>
      </c>
      <c r="H1084">
        <v>13</v>
      </c>
      <c r="I1084">
        <v>927</v>
      </c>
      <c r="J1084">
        <v>10</v>
      </c>
      <c r="K1084">
        <v>360</v>
      </c>
      <c r="L1084">
        <v>191</v>
      </c>
      <c r="M1084">
        <v>1.6051779935274999</v>
      </c>
      <c r="N1084" t="s">
        <v>23</v>
      </c>
      <c r="O1084">
        <v>0</v>
      </c>
    </row>
    <row r="1085" spans="1:15" x14ac:dyDescent="0.35">
      <c r="A1085">
        <v>1084</v>
      </c>
      <c r="B1085" t="s">
        <v>15</v>
      </c>
      <c r="C1085" t="s">
        <v>24</v>
      </c>
      <c r="D1085" s="1">
        <v>45543</v>
      </c>
      <c r="E1085" t="s">
        <v>20</v>
      </c>
      <c r="F1085">
        <v>9</v>
      </c>
      <c r="G1085">
        <v>269</v>
      </c>
      <c r="H1085">
        <v>0</v>
      </c>
      <c r="I1085">
        <v>1668</v>
      </c>
      <c r="J1085">
        <v>91</v>
      </c>
      <c r="K1085">
        <v>543</v>
      </c>
      <c r="L1085">
        <v>527</v>
      </c>
      <c r="M1085">
        <v>1.69604316546762</v>
      </c>
      <c r="N1085" t="s">
        <v>21</v>
      </c>
      <c r="O1085">
        <v>0</v>
      </c>
    </row>
    <row r="1086" spans="1:15" x14ac:dyDescent="0.35">
      <c r="A1086">
        <v>1085</v>
      </c>
      <c r="B1086" t="s">
        <v>22</v>
      </c>
      <c r="C1086" t="s">
        <v>24</v>
      </c>
      <c r="D1086" s="1">
        <v>45371</v>
      </c>
      <c r="E1086" t="s">
        <v>25</v>
      </c>
      <c r="F1086">
        <v>17</v>
      </c>
      <c r="G1086">
        <v>239</v>
      </c>
      <c r="H1086">
        <v>5</v>
      </c>
      <c r="I1086">
        <v>2099</v>
      </c>
      <c r="J1086">
        <v>236</v>
      </c>
      <c r="K1086">
        <v>483</v>
      </c>
      <c r="L1086">
        <v>405</v>
      </c>
      <c r="M1086">
        <v>1.5354930919485399</v>
      </c>
      <c r="N1086" t="s">
        <v>23</v>
      </c>
      <c r="O1086">
        <v>0</v>
      </c>
    </row>
    <row r="1087" spans="1:15" x14ac:dyDescent="0.35">
      <c r="A1087">
        <v>1086</v>
      </c>
      <c r="B1087" t="s">
        <v>22</v>
      </c>
      <c r="C1087" t="s">
        <v>16</v>
      </c>
      <c r="D1087" s="1">
        <v>45566</v>
      </c>
      <c r="E1087" t="s">
        <v>17</v>
      </c>
      <c r="F1087">
        <v>10</v>
      </c>
      <c r="G1087">
        <v>201</v>
      </c>
      <c r="H1087">
        <v>13</v>
      </c>
      <c r="I1087">
        <v>2257</v>
      </c>
      <c r="J1087">
        <v>116</v>
      </c>
      <c r="K1087">
        <v>451</v>
      </c>
      <c r="L1087">
        <v>673</v>
      </c>
      <c r="M1087">
        <v>1.5494018608772699</v>
      </c>
      <c r="N1087" t="s">
        <v>23</v>
      </c>
      <c r="O1087">
        <v>0</v>
      </c>
    </row>
    <row r="1088" spans="1:15" x14ac:dyDescent="0.35">
      <c r="A1088">
        <v>1087</v>
      </c>
      <c r="B1088" t="s">
        <v>15</v>
      </c>
      <c r="C1088" t="s">
        <v>24</v>
      </c>
      <c r="D1088" s="1">
        <v>45294</v>
      </c>
      <c r="E1088" t="s">
        <v>25</v>
      </c>
      <c r="F1088">
        <v>7</v>
      </c>
      <c r="G1088">
        <v>88</v>
      </c>
      <c r="H1088">
        <v>12</v>
      </c>
      <c r="I1088">
        <v>2992</v>
      </c>
      <c r="J1088">
        <v>731</v>
      </c>
      <c r="K1088">
        <v>205</v>
      </c>
      <c r="L1088">
        <v>114</v>
      </c>
      <c r="M1088">
        <v>1.3509358288769999</v>
      </c>
      <c r="N1088" t="s">
        <v>23</v>
      </c>
      <c r="O1088">
        <v>0</v>
      </c>
    </row>
    <row r="1089" spans="1:15" x14ac:dyDescent="0.35">
      <c r="A1089">
        <v>1088</v>
      </c>
      <c r="B1089" t="s">
        <v>15</v>
      </c>
      <c r="C1089" t="s">
        <v>24</v>
      </c>
      <c r="D1089" s="1">
        <v>45507</v>
      </c>
      <c r="E1089" t="s">
        <v>28</v>
      </c>
      <c r="F1089">
        <v>14</v>
      </c>
      <c r="G1089">
        <v>80</v>
      </c>
      <c r="H1089">
        <v>13</v>
      </c>
      <c r="I1089">
        <v>2763</v>
      </c>
      <c r="J1089">
        <v>37</v>
      </c>
      <c r="K1089">
        <v>166</v>
      </c>
      <c r="L1089">
        <v>683</v>
      </c>
      <c r="M1089">
        <v>1.3206659428157801</v>
      </c>
      <c r="N1089" t="s">
        <v>23</v>
      </c>
      <c r="O1089">
        <v>0</v>
      </c>
    </row>
    <row r="1090" spans="1:15" x14ac:dyDescent="0.35">
      <c r="A1090">
        <v>1089</v>
      </c>
      <c r="B1090" t="s">
        <v>22</v>
      </c>
      <c r="C1090" t="s">
        <v>19</v>
      </c>
      <c r="D1090" s="1">
        <v>45542</v>
      </c>
      <c r="E1090" t="s">
        <v>28</v>
      </c>
      <c r="F1090">
        <v>18</v>
      </c>
      <c r="G1090">
        <v>87</v>
      </c>
      <c r="H1090">
        <v>3</v>
      </c>
      <c r="I1090">
        <v>4556</v>
      </c>
      <c r="J1090">
        <v>512</v>
      </c>
      <c r="K1090">
        <v>132</v>
      </c>
      <c r="L1090">
        <v>333</v>
      </c>
      <c r="M1090">
        <v>1.21444249341527</v>
      </c>
      <c r="N1090" t="s">
        <v>23</v>
      </c>
      <c r="O1090">
        <v>0</v>
      </c>
    </row>
    <row r="1091" spans="1:15" x14ac:dyDescent="0.35">
      <c r="A1091">
        <v>1090</v>
      </c>
      <c r="B1091" t="s">
        <v>26</v>
      </c>
      <c r="C1091" t="s">
        <v>16</v>
      </c>
      <c r="D1091" s="1">
        <v>45347</v>
      </c>
      <c r="E1091" t="s">
        <v>20</v>
      </c>
      <c r="F1091">
        <v>13</v>
      </c>
      <c r="G1091">
        <v>46</v>
      </c>
      <c r="H1091">
        <v>10</v>
      </c>
      <c r="I1091">
        <v>223</v>
      </c>
      <c r="J1091">
        <v>134</v>
      </c>
      <c r="K1091">
        <v>161</v>
      </c>
      <c r="L1091">
        <v>353</v>
      </c>
      <c r="M1091">
        <v>3.9058295964125498</v>
      </c>
      <c r="N1091" t="s">
        <v>18</v>
      </c>
      <c r="O1091">
        <v>0</v>
      </c>
    </row>
    <row r="1092" spans="1:15" x14ac:dyDescent="0.35">
      <c r="A1092">
        <v>1091</v>
      </c>
      <c r="B1092" t="s">
        <v>22</v>
      </c>
      <c r="C1092" t="s">
        <v>24</v>
      </c>
      <c r="D1092" s="1">
        <v>45511</v>
      </c>
      <c r="E1092" t="s">
        <v>25</v>
      </c>
      <c r="F1092">
        <v>15</v>
      </c>
      <c r="G1092">
        <v>268</v>
      </c>
      <c r="H1092">
        <v>2</v>
      </c>
      <c r="I1092">
        <v>4941</v>
      </c>
      <c r="J1092">
        <v>760</v>
      </c>
      <c r="K1092">
        <v>10</v>
      </c>
      <c r="L1092">
        <v>445</v>
      </c>
      <c r="M1092">
        <v>1.2459016393442599</v>
      </c>
      <c r="N1092" t="s">
        <v>23</v>
      </c>
      <c r="O1092">
        <v>0</v>
      </c>
    </row>
    <row r="1093" spans="1:15" x14ac:dyDescent="0.35">
      <c r="A1093">
        <v>1092</v>
      </c>
      <c r="B1093" t="s">
        <v>15</v>
      </c>
      <c r="C1093" t="s">
        <v>16</v>
      </c>
      <c r="D1093" s="1">
        <v>45511</v>
      </c>
      <c r="E1093" t="s">
        <v>25</v>
      </c>
      <c r="F1093">
        <v>14</v>
      </c>
      <c r="G1093">
        <v>78</v>
      </c>
      <c r="H1093">
        <v>8</v>
      </c>
      <c r="I1093">
        <v>2079</v>
      </c>
      <c r="J1093">
        <v>637</v>
      </c>
      <c r="K1093">
        <v>158</v>
      </c>
      <c r="L1093">
        <v>524</v>
      </c>
      <c r="M1093">
        <v>1.6344396344396299</v>
      </c>
      <c r="N1093" t="s">
        <v>21</v>
      </c>
      <c r="O1093">
        <v>0</v>
      </c>
    </row>
    <row r="1094" spans="1:15" x14ac:dyDescent="0.35">
      <c r="A1094">
        <v>1093</v>
      </c>
      <c r="B1094" t="s">
        <v>26</v>
      </c>
      <c r="C1094" t="s">
        <v>19</v>
      </c>
      <c r="D1094" s="1">
        <v>45418</v>
      </c>
      <c r="E1094" t="s">
        <v>29</v>
      </c>
      <c r="F1094">
        <v>22</v>
      </c>
      <c r="G1094">
        <v>112</v>
      </c>
      <c r="H1094">
        <v>6</v>
      </c>
      <c r="I1094">
        <v>3565</v>
      </c>
      <c r="J1094">
        <v>208</v>
      </c>
      <c r="K1094">
        <v>487</v>
      </c>
      <c r="L1094">
        <v>106</v>
      </c>
      <c r="M1094">
        <v>1.2246844319775501</v>
      </c>
      <c r="N1094" t="s">
        <v>23</v>
      </c>
      <c r="O1094">
        <v>0</v>
      </c>
    </row>
    <row r="1095" spans="1:15" x14ac:dyDescent="0.35">
      <c r="A1095">
        <v>1094</v>
      </c>
      <c r="B1095" t="s">
        <v>15</v>
      </c>
      <c r="C1095" t="s">
        <v>24</v>
      </c>
      <c r="D1095" s="1">
        <v>45368</v>
      </c>
      <c r="E1095" t="s">
        <v>20</v>
      </c>
      <c r="F1095">
        <v>12</v>
      </c>
      <c r="G1095">
        <v>94</v>
      </c>
      <c r="H1095">
        <v>13</v>
      </c>
      <c r="I1095">
        <v>1929</v>
      </c>
      <c r="J1095">
        <v>128</v>
      </c>
      <c r="K1095">
        <v>137</v>
      </c>
      <c r="L1095">
        <v>411</v>
      </c>
      <c r="M1095">
        <v>1.3504406428201099</v>
      </c>
      <c r="N1095" t="s">
        <v>23</v>
      </c>
      <c r="O1095">
        <v>0</v>
      </c>
    </row>
    <row r="1096" spans="1:15" x14ac:dyDescent="0.35">
      <c r="A1096">
        <v>1095</v>
      </c>
      <c r="B1096" t="s">
        <v>22</v>
      </c>
      <c r="C1096" t="s">
        <v>19</v>
      </c>
      <c r="D1096" s="1">
        <v>45301</v>
      </c>
      <c r="E1096" t="s">
        <v>25</v>
      </c>
      <c r="F1096">
        <v>15</v>
      </c>
      <c r="G1096">
        <v>138</v>
      </c>
      <c r="H1096">
        <v>7</v>
      </c>
      <c r="I1096">
        <v>1685</v>
      </c>
      <c r="J1096">
        <v>98</v>
      </c>
      <c r="K1096">
        <v>54</v>
      </c>
      <c r="L1096">
        <v>390</v>
      </c>
      <c r="M1096">
        <v>1.32166172106824</v>
      </c>
      <c r="N1096" t="s">
        <v>23</v>
      </c>
      <c r="O1096">
        <v>0</v>
      </c>
    </row>
    <row r="1097" spans="1:15" x14ac:dyDescent="0.35">
      <c r="A1097">
        <v>1096</v>
      </c>
      <c r="B1097" t="s">
        <v>22</v>
      </c>
      <c r="C1097" t="s">
        <v>19</v>
      </c>
      <c r="D1097" s="1">
        <v>45464</v>
      </c>
      <c r="E1097" t="s">
        <v>30</v>
      </c>
      <c r="F1097">
        <v>7</v>
      </c>
      <c r="G1097">
        <v>175</v>
      </c>
      <c r="H1097">
        <v>3</v>
      </c>
      <c r="I1097">
        <v>3540</v>
      </c>
      <c r="J1097">
        <v>495</v>
      </c>
      <c r="K1097">
        <v>64</v>
      </c>
      <c r="L1097">
        <v>523</v>
      </c>
      <c r="M1097">
        <v>1.30564971751412</v>
      </c>
      <c r="N1097" t="s">
        <v>23</v>
      </c>
      <c r="O1097">
        <v>0</v>
      </c>
    </row>
    <row r="1098" spans="1:15" x14ac:dyDescent="0.35">
      <c r="A1098">
        <v>1097</v>
      </c>
      <c r="B1098" t="s">
        <v>15</v>
      </c>
      <c r="C1098" t="s">
        <v>24</v>
      </c>
      <c r="D1098" s="1">
        <v>45429</v>
      </c>
      <c r="E1098" t="s">
        <v>30</v>
      </c>
      <c r="F1098">
        <v>7</v>
      </c>
      <c r="G1098">
        <v>113</v>
      </c>
      <c r="H1098">
        <v>1</v>
      </c>
      <c r="I1098">
        <v>3028</v>
      </c>
      <c r="J1098">
        <v>292</v>
      </c>
      <c r="K1098">
        <v>361</v>
      </c>
      <c r="L1098">
        <v>429</v>
      </c>
      <c r="M1098">
        <v>1.3573315719947101</v>
      </c>
      <c r="N1098" t="s">
        <v>23</v>
      </c>
      <c r="O1098">
        <v>0</v>
      </c>
    </row>
    <row r="1099" spans="1:15" x14ac:dyDescent="0.35">
      <c r="A1099">
        <v>1098</v>
      </c>
      <c r="B1099" t="s">
        <v>22</v>
      </c>
      <c r="C1099" t="s">
        <v>24</v>
      </c>
      <c r="D1099" s="1">
        <v>45292</v>
      </c>
      <c r="E1099" t="s">
        <v>29</v>
      </c>
      <c r="F1099">
        <v>14</v>
      </c>
      <c r="G1099">
        <v>71</v>
      </c>
      <c r="H1099">
        <v>13</v>
      </c>
      <c r="I1099">
        <v>477</v>
      </c>
      <c r="J1099">
        <v>681</v>
      </c>
      <c r="K1099">
        <v>331</v>
      </c>
      <c r="L1099">
        <v>218</v>
      </c>
      <c r="M1099">
        <v>3.5786163522012502</v>
      </c>
      <c r="N1099" t="s">
        <v>18</v>
      </c>
      <c r="O1099">
        <v>0</v>
      </c>
    </row>
    <row r="1100" spans="1:15" x14ac:dyDescent="0.35">
      <c r="A1100">
        <v>1099</v>
      </c>
      <c r="B1100" t="s">
        <v>22</v>
      </c>
      <c r="C1100" t="s">
        <v>16</v>
      </c>
      <c r="D1100" s="1">
        <v>45386</v>
      </c>
      <c r="E1100" t="s">
        <v>27</v>
      </c>
      <c r="F1100">
        <v>9</v>
      </c>
      <c r="G1100">
        <v>26</v>
      </c>
      <c r="H1100">
        <v>17</v>
      </c>
      <c r="I1100">
        <v>2116</v>
      </c>
      <c r="J1100">
        <v>508</v>
      </c>
      <c r="K1100">
        <v>374</v>
      </c>
      <c r="L1100">
        <v>343</v>
      </c>
      <c r="M1100">
        <v>1.5789224952740999</v>
      </c>
      <c r="N1100" t="s">
        <v>23</v>
      </c>
      <c r="O1100">
        <v>0</v>
      </c>
    </row>
    <row r="1101" spans="1:15" x14ac:dyDescent="0.35">
      <c r="A1101">
        <v>1100</v>
      </c>
      <c r="B1101" t="s">
        <v>26</v>
      </c>
      <c r="C1101" t="s">
        <v>19</v>
      </c>
      <c r="D1101" s="1">
        <v>45358</v>
      </c>
      <c r="E1101" t="s">
        <v>27</v>
      </c>
      <c r="F1101">
        <v>17</v>
      </c>
      <c r="G1101">
        <v>141</v>
      </c>
      <c r="H1101">
        <v>20</v>
      </c>
      <c r="I1101">
        <v>2763</v>
      </c>
      <c r="J1101">
        <v>374</v>
      </c>
      <c r="K1101">
        <v>372</v>
      </c>
      <c r="L1101">
        <v>604</v>
      </c>
      <c r="M1101">
        <v>1.4885993485342</v>
      </c>
      <c r="N1101" t="s">
        <v>23</v>
      </c>
      <c r="O1101">
        <v>0</v>
      </c>
    </row>
    <row r="1102" spans="1:15" x14ac:dyDescent="0.35">
      <c r="A1102">
        <v>1101</v>
      </c>
      <c r="B1102" t="s">
        <v>15</v>
      </c>
      <c r="C1102" t="s">
        <v>16</v>
      </c>
      <c r="D1102" s="1">
        <v>45433</v>
      </c>
      <c r="E1102" t="s">
        <v>17</v>
      </c>
      <c r="F1102">
        <v>9</v>
      </c>
      <c r="G1102">
        <v>41</v>
      </c>
      <c r="H1102">
        <v>18</v>
      </c>
      <c r="I1102">
        <v>1770</v>
      </c>
      <c r="J1102">
        <v>603</v>
      </c>
      <c r="K1102">
        <v>395</v>
      </c>
      <c r="L1102">
        <v>90</v>
      </c>
      <c r="M1102">
        <v>1.61468926553672</v>
      </c>
      <c r="N1102" t="s">
        <v>21</v>
      </c>
      <c r="O1102">
        <v>0</v>
      </c>
    </row>
    <row r="1103" spans="1:15" x14ac:dyDescent="0.35">
      <c r="A1103">
        <v>1102</v>
      </c>
      <c r="B1103" t="s">
        <v>15</v>
      </c>
      <c r="C1103" t="s">
        <v>19</v>
      </c>
      <c r="D1103" s="1">
        <v>45389</v>
      </c>
      <c r="E1103" t="s">
        <v>20</v>
      </c>
      <c r="F1103">
        <v>16</v>
      </c>
      <c r="G1103">
        <v>174</v>
      </c>
      <c r="H1103">
        <v>15</v>
      </c>
      <c r="I1103">
        <v>1630</v>
      </c>
      <c r="J1103">
        <v>726</v>
      </c>
      <c r="K1103">
        <v>458</v>
      </c>
      <c r="L1103">
        <v>102</v>
      </c>
      <c r="M1103">
        <v>1.78895705521472</v>
      </c>
      <c r="N1103" t="s">
        <v>21</v>
      </c>
      <c r="O1103">
        <v>0</v>
      </c>
    </row>
    <row r="1104" spans="1:15" x14ac:dyDescent="0.35">
      <c r="A1104">
        <v>1103</v>
      </c>
      <c r="B1104" t="s">
        <v>15</v>
      </c>
      <c r="C1104" t="s">
        <v>16</v>
      </c>
      <c r="D1104" s="1">
        <v>45395</v>
      </c>
      <c r="E1104" t="s">
        <v>28</v>
      </c>
      <c r="F1104">
        <v>19</v>
      </c>
      <c r="G1104">
        <v>149</v>
      </c>
      <c r="H1104">
        <v>17</v>
      </c>
      <c r="I1104">
        <v>4420</v>
      </c>
      <c r="J1104">
        <v>743</v>
      </c>
      <c r="K1104">
        <v>159</v>
      </c>
      <c r="L1104">
        <v>45</v>
      </c>
      <c r="M1104">
        <v>1.2142533936651501</v>
      </c>
      <c r="N1104" t="s">
        <v>23</v>
      </c>
      <c r="O1104">
        <v>0</v>
      </c>
    </row>
    <row r="1105" spans="1:15" x14ac:dyDescent="0.35">
      <c r="A1105">
        <v>1104</v>
      </c>
      <c r="B1105" t="s">
        <v>15</v>
      </c>
      <c r="C1105" t="s">
        <v>24</v>
      </c>
      <c r="D1105" s="1">
        <v>45469</v>
      </c>
      <c r="E1105" t="s">
        <v>25</v>
      </c>
      <c r="F1105">
        <v>19</v>
      </c>
      <c r="G1105">
        <v>288</v>
      </c>
      <c r="H1105">
        <v>16</v>
      </c>
      <c r="I1105">
        <v>3048</v>
      </c>
      <c r="J1105">
        <v>464</v>
      </c>
      <c r="K1105">
        <v>122</v>
      </c>
      <c r="L1105">
        <v>447</v>
      </c>
      <c r="M1105">
        <v>1.3389107611548501</v>
      </c>
      <c r="N1105" t="s">
        <v>23</v>
      </c>
      <c r="O1105">
        <v>0</v>
      </c>
    </row>
    <row r="1106" spans="1:15" x14ac:dyDescent="0.35">
      <c r="A1106">
        <v>1105</v>
      </c>
      <c r="B1106" t="s">
        <v>22</v>
      </c>
      <c r="C1106" t="s">
        <v>16</v>
      </c>
      <c r="D1106" s="1">
        <v>45303</v>
      </c>
      <c r="E1106" t="s">
        <v>30</v>
      </c>
      <c r="F1106">
        <v>7</v>
      </c>
      <c r="G1106">
        <v>117</v>
      </c>
      <c r="H1106">
        <v>12</v>
      </c>
      <c r="I1106">
        <v>1417</v>
      </c>
      <c r="J1106">
        <v>618</v>
      </c>
      <c r="K1106">
        <v>282</v>
      </c>
      <c r="L1106">
        <v>133</v>
      </c>
      <c r="M1106">
        <v>1.7290049400141101</v>
      </c>
      <c r="N1106" t="s">
        <v>21</v>
      </c>
      <c r="O1106">
        <v>0</v>
      </c>
    </row>
    <row r="1107" spans="1:15" x14ac:dyDescent="0.35">
      <c r="A1107">
        <v>1106</v>
      </c>
      <c r="B1107" t="s">
        <v>22</v>
      </c>
      <c r="C1107" t="s">
        <v>19</v>
      </c>
      <c r="D1107" s="1">
        <v>45545</v>
      </c>
      <c r="E1107" t="s">
        <v>17</v>
      </c>
      <c r="F1107">
        <v>18</v>
      </c>
      <c r="G1107">
        <v>219</v>
      </c>
      <c r="H1107">
        <v>12</v>
      </c>
      <c r="I1107">
        <v>4411</v>
      </c>
      <c r="J1107">
        <v>530</v>
      </c>
      <c r="K1107">
        <v>78</v>
      </c>
      <c r="L1107">
        <v>170</v>
      </c>
      <c r="M1107">
        <v>1.17637723872137</v>
      </c>
      <c r="N1107" t="s">
        <v>23</v>
      </c>
      <c r="O1107">
        <v>0</v>
      </c>
    </row>
    <row r="1108" spans="1:15" x14ac:dyDescent="0.35">
      <c r="A1108">
        <v>1107</v>
      </c>
      <c r="B1108" t="s">
        <v>26</v>
      </c>
      <c r="C1108" t="s">
        <v>16</v>
      </c>
      <c r="D1108" s="1">
        <v>45431</v>
      </c>
      <c r="E1108" t="s">
        <v>20</v>
      </c>
      <c r="F1108">
        <v>6</v>
      </c>
      <c r="G1108">
        <v>282</v>
      </c>
      <c r="H1108">
        <v>14</v>
      </c>
      <c r="I1108">
        <v>1745</v>
      </c>
      <c r="J1108">
        <v>193</v>
      </c>
      <c r="K1108">
        <v>5</v>
      </c>
      <c r="L1108">
        <v>164</v>
      </c>
      <c r="M1108">
        <v>1.2074498567335199</v>
      </c>
      <c r="N1108" t="s">
        <v>23</v>
      </c>
      <c r="O1108">
        <v>0</v>
      </c>
    </row>
    <row r="1109" spans="1:15" x14ac:dyDescent="0.35">
      <c r="A1109">
        <v>1108</v>
      </c>
      <c r="B1109" t="s">
        <v>22</v>
      </c>
      <c r="C1109" t="s">
        <v>19</v>
      </c>
      <c r="D1109" s="1">
        <v>45549</v>
      </c>
      <c r="E1109" t="s">
        <v>28</v>
      </c>
      <c r="F1109">
        <v>14</v>
      </c>
      <c r="G1109">
        <v>80</v>
      </c>
      <c r="H1109">
        <v>5</v>
      </c>
      <c r="I1109">
        <v>4351</v>
      </c>
      <c r="J1109">
        <v>270</v>
      </c>
      <c r="K1109">
        <v>312</v>
      </c>
      <c r="L1109">
        <v>226</v>
      </c>
      <c r="M1109">
        <v>1.18570443576189</v>
      </c>
      <c r="N1109" t="s">
        <v>23</v>
      </c>
      <c r="O1109">
        <v>0</v>
      </c>
    </row>
    <row r="1110" spans="1:15" x14ac:dyDescent="0.35">
      <c r="A1110">
        <v>1109</v>
      </c>
      <c r="B1110" t="s">
        <v>15</v>
      </c>
      <c r="C1110" t="s">
        <v>19</v>
      </c>
      <c r="D1110" s="1">
        <v>45406</v>
      </c>
      <c r="E1110" t="s">
        <v>25</v>
      </c>
      <c r="F1110">
        <v>10</v>
      </c>
      <c r="G1110">
        <v>162</v>
      </c>
      <c r="H1110">
        <v>4</v>
      </c>
      <c r="I1110">
        <v>423</v>
      </c>
      <c r="J1110">
        <v>551</v>
      </c>
      <c r="K1110">
        <v>245</v>
      </c>
      <c r="L1110">
        <v>299</v>
      </c>
      <c r="M1110">
        <v>3.5886524822695001</v>
      </c>
      <c r="N1110" t="s">
        <v>18</v>
      </c>
      <c r="O1110">
        <v>0</v>
      </c>
    </row>
    <row r="1111" spans="1:15" x14ac:dyDescent="0.35">
      <c r="A1111">
        <v>1110</v>
      </c>
      <c r="B1111" t="s">
        <v>26</v>
      </c>
      <c r="C1111" t="s">
        <v>16</v>
      </c>
      <c r="D1111" s="1">
        <v>45430</v>
      </c>
      <c r="E1111" t="s">
        <v>28</v>
      </c>
      <c r="F1111">
        <v>6</v>
      </c>
      <c r="G1111">
        <v>197</v>
      </c>
      <c r="H1111">
        <v>20</v>
      </c>
      <c r="I1111">
        <v>472</v>
      </c>
      <c r="J1111">
        <v>662</v>
      </c>
      <c r="K1111">
        <v>256</v>
      </c>
      <c r="L1111">
        <v>216</v>
      </c>
      <c r="M1111">
        <v>3.4025423728813502</v>
      </c>
      <c r="N1111" t="s">
        <v>18</v>
      </c>
      <c r="O1111">
        <v>0</v>
      </c>
    </row>
    <row r="1112" spans="1:15" x14ac:dyDescent="0.35">
      <c r="A1112">
        <v>1111</v>
      </c>
      <c r="B1112" t="s">
        <v>26</v>
      </c>
      <c r="C1112" t="s">
        <v>16</v>
      </c>
      <c r="D1112" s="1">
        <v>45480</v>
      </c>
      <c r="E1112" t="s">
        <v>20</v>
      </c>
      <c r="F1112">
        <v>19</v>
      </c>
      <c r="G1112">
        <v>170</v>
      </c>
      <c r="H1112">
        <v>10</v>
      </c>
      <c r="I1112">
        <v>2708</v>
      </c>
      <c r="J1112">
        <v>90</v>
      </c>
      <c r="K1112">
        <v>564</v>
      </c>
      <c r="L1112">
        <v>271</v>
      </c>
      <c r="M1112">
        <v>1.34158050221565</v>
      </c>
      <c r="N1112" t="s">
        <v>23</v>
      </c>
      <c r="O1112">
        <v>0</v>
      </c>
    </row>
    <row r="1113" spans="1:15" x14ac:dyDescent="0.35">
      <c r="A1113">
        <v>1112</v>
      </c>
      <c r="B1113" t="s">
        <v>15</v>
      </c>
      <c r="C1113" t="s">
        <v>24</v>
      </c>
      <c r="D1113" s="1">
        <v>45321</v>
      </c>
      <c r="E1113" t="s">
        <v>17</v>
      </c>
      <c r="F1113">
        <v>6</v>
      </c>
      <c r="G1113">
        <v>295</v>
      </c>
      <c r="H1113">
        <v>18</v>
      </c>
      <c r="I1113">
        <v>135</v>
      </c>
      <c r="J1113">
        <v>369</v>
      </c>
      <c r="K1113">
        <v>226</v>
      </c>
      <c r="L1113">
        <v>287</v>
      </c>
      <c r="M1113">
        <v>7.5333333333333297</v>
      </c>
      <c r="N1113" t="s">
        <v>18</v>
      </c>
      <c r="O1113">
        <v>0</v>
      </c>
    </row>
    <row r="1114" spans="1:15" x14ac:dyDescent="0.35">
      <c r="A1114">
        <v>1113</v>
      </c>
      <c r="B1114" t="s">
        <v>26</v>
      </c>
      <c r="C1114" t="s">
        <v>19</v>
      </c>
      <c r="D1114" s="1">
        <v>45346</v>
      </c>
      <c r="E1114" t="s">
        <v>28</v>
      </c>
      <c r="F1114">
        <v>23</v>
      </c>
      <c r="G1114">
        <v>125</v>
      </c>
      <c r="H1114">
        <v>14</v>
      </c>
      <c r="I1114">
        <v>3179</v>
      </c>
      <c r="J1114">
        <v>674</v>
      </c>
      <c r="K1114">
        <v>265</v>
      </c>
      <c r="L1114">
        <v>642</v>
      </c>
      <c r="M1114">
        <v>1.4973262032085499</v>
      </c>
      <c r="N1114" t="s">
        <v>23</v>
      </c>
      <c r="O1114">
        <v>0</v>
      </c>
    </row>
    <row r="1115" spans="1:15" x14ac:dyDescent="0.35">
      <c r="A1115">
        <v>1114</v>
      </c>
      <c r="B1115" t="s">
        <v>26</v>
      </c>
      <c r="C1115" t="s">
        <v>24</v>
      </c>
      <c r="D1115" s="1">
        <v>45404</v>
      </c>
      <c r="E1115" t="s">
        <v>29</v>
      </c>
      <c r="F1115">
        <v>10</v>
      </c>
      <c r="G1115">
        <v>248</v>
      </c>
      <c r="H1115">
        <v>7</v>
      </c>
      <c r="I1115">
        <v>2706</v>
      </c>
      <c r="J1115">
        <v>280</v>
      </c>
      <c r="K1115">
        <v>210</v>
      </c>
      <c r="L1115">
        <v>596</v>
      </c>
      <c r="M1115">
        <v>1.40133037694013</v>
      </c>
      <c r="N1115" t="s">
        <v>23</v>
      </c>
      <c r="O1115">
        <v>0</v>
      </c>
    </row>
    <row r="1116" spans="1:15" x14ac:dyDescent="0.35">
      <c r="A1116">
        <v>1115</v>
      </c>
      <c r="B1116" t="s">
        <v>22</v>
      </c>
      <c r="C1116" t="s">
        <v>16</v>
      </c>
      <c r="D1116" s="1">
        <v>45514</v>
      </c>
      <c r="E1116" t="s">
        <v>28</v>
      </c>
      <c r="F1116">
        <v>20</v>
      </c>
      <c r="G1116">
        <v>114</v>
      </c>
      <c r="H1116">
        <v>5</v>
      </c>
      <c r="I1116">
        <v>3069</v>
      </c>
      <c r="J1116">
        <v>156</v>
      </c>
      <c r="K1116">
        <v>492</v>
      </c>
      <c r="L1116">
        <v>96</v>
      </c>
      <c r="M1116">
        <v>1.24242424242424</v>
      </c>
      <c r="N1116" t="s">
        <v>23</v>
      </c>
      <c r="O1116">
        <v>0</v>
      </c>
    </row>
    <row r="1117" spans="1:15" x14ac:dyDescent="0.35">
      <c r="A1117">
        <v>1116</v>
      </c>
      <c r="B1117" t="s">
        <v>22</v>
      </c>
      <c r="C1117" t="s">
        <v>16</v>
      </c>
      <c r="D1117" s="1">
        <v>45388</v>
      </c>
      <c r="E1117" t="s">
        <v>28</v>
      </c>
      <c r="F1117">
        <v>15</v>
      </c>
      <c r="G1117">
        <v>103</v>
      </c>
      <c r="H1117">
        <v>5</v>
      </c>
      <c r="I1117">
        <v>4716</v>
      </c>
      <c r="J1117">
        <v>507</v>
      </c>
      <c r="K1117">
        <v>186</v>
      </c>
      <c r="L1117">
        <v>664</v>
      </c>
      <c r="M1117">
        <v>1.28774385072095</v>
      </c>
      <c r="N1117" t="s">
        <v>23</v>
      </c>
      <c r="O1117">
        <v>0</v>
      </c>
    </row>
    <row r="1118" spans="1:15" x14ac:dyDescent="0.35">
      <c r="A1118">
        <v>1117</v>
      </c>
      <c r="B1118" t="s">
        <v>22</v>
      </c>
      <c r="C1118" t="s">
        <v>16</v>
      </c>
      <c r="D1118" s="1">
        <v>45493</v>
      </c>
      <c r="E1118" t="s">
        <v>28</v>
      </c>
      <c r="F1118">
        <v>20</v>
      </c>
      <c r="G1118">
        <v>226</v>
      </c>
      <c r="H1118">
        <v>3</v>
      </c>
      <c r="I1118">
        <v>1588</v>
      </c>
      <c r="J1118">
        <v>76</v>
      </c>
      <c r="K1118">
        <v>148</v>
      </c>
      <c r="L1118">
        <v>74</v>
      </c>
      <c r="M1118">
        <v>1.1876574307304699</v>
      </c>
      <c r="N1118" t="s">
        <v>23</v>
      </c>
      <c r="O1118">
        <v>0</v>
      </c>
    </row>
    <row r="1119" spans="1:15" x14ac:dyDescent="0.35">
      <c r="A1119">
        <v>1118</v>
      </c>
      <c r="B1119" t="s">
        <v>15</v>
      </c>
      <c r="C1119" t="s">
        <v>24</v>
      </c>
      <c r="D1119" s="1">
        <v>45561</v>
      </c>
      <c r="E1119" t="s">
        <v>27</v>
      </c>
      <c r="F1119">
        <v>18</v>
      </c>
      <c r="G1119">
        <v>30</v>
      </c>
      <c r="H1119">
        <v>3</v>
      </c>
      <c r="I1119">
        <v>1174</v>
      </c>
      <c r="J1119">
        <v>749</v>
      </c>
      <c r="K1119">
        <v>14</v>
      </c>
      <c r="L1119">
        <v>618</v>
      </c>
      <c r="M1119">
        <v>2.1763202725723998</v>
      </c>
      <c r="N1119" t="s">
        <v>21</v>
      </c>
      <c r="O1119">
        <v>0</v>
      </c>
    </row>
    <row r="1120" spans="1:15" x14ac:dyDescent="0.35">
      <c r="A1120">
        <v>1119</v>
      </c>
      <c r="B1120" t="s">
        <v>22</v>
      </c>
      <c r="C1120" t="s">
        <v>16</v>
      </c>
      <c r="D1120" s="1">
        <v>45298</v>
      </c>
      <c r="E1120" t="s">
        <v>20</v>
      </c>
      <c r="F1120">
        <v>6</v>
      </c>
      <c r="G1120">
        <v>24</v>
      </c>
      <c r="H1120">
        <v>3</v>
      </c>
      <c r="I1120">
        <v>408</v>
      </c>
      <c r="J1120">
        <v>140</v>
      </c>
      <c r="K1120">
        <v>256</v>
      </c>
      <c r="L1120">
        <v>86</v>
      </c>
      <c r="M1120">
        <v>2.1813725490196001</v>
      </c>
      <c r="N1120" t="s">
        <v>21</v>
      </c>
      <c r="O1120">
        <v>0</v>
      </c>
    </row>
    <row r="1121" spans="1:15" x14ac:dyDescent="0.35">
      <c r="A1121">
        <v>1120</v>
      </c>
      <c r="B1121" t="s">
        <v>15</v>
      </c>
      <c r="C1121" t="s">
        <v>24</v>
      </c>
      <c r="D1121" s="1">
        <v>45569</v>
      </c>
      <c r="E1121" t="s">
        <v>30</v>
      </c>
      <c r="F1121">
        <v>20</v>
      </c>
      <c r="G1121">
        <v>103</v>
      </c>
      <c r="H1121">
        <v>9</v>
      </c>
      <c r="I1121">
        <v>2822</v>
      </c>
      <c r="J1121">
        <v>729</v>
      </c>
      <c r="K1121">
        <v>89</v>
      </c>
      <c r="L1121">
        <v>208</v>
      </c>
      <c r="M1121">
        <v>1.36357193479801</v>
      </c>
      <c r="N1121" t="s">
        <v>23</v>
      </c>
      <c r="O1121">
        <v>0</v>
      </c>
    </row>
    <row r="1122" spans="1:15" x14ac:dyDescent="0.35">
      <c r="A1122">
        <v>1121</v>
      </c>
      <c r="B1122" t="s">
        <v>26</v>
      </c>
      <c r="C1122" t="s">
        <v>19</v>
      </c>
      <c r="D1122" s="1">
        <v>45461</v>
      </c>
      <c r="E1122" t="s">
        <v>17</v>
      </c>
      <c r="F1122">
        <v>14</v>
      </c>
      <c r="G1122">
        <v>298</v>
      </c>
      <c r="H1122">
        <v>3</v>
      </c>
      <c r="I1122">
        <v>3973</v>
      </c>
      <c r="J1122">
        <v>163</v>
      </c>
      <c r="K1122">
        <v>251</v>
      </c>
      <c r="L1122">
        <v>58</v>
      </c>
      <c r="M1122">
        <v>1.11880191291215</v>
      </c>
      <c r="N1122" t="s">
        <v>23</v>
      </c>
      <c r="O1122">
        <v>0</v>
      </c>
    </row>
    <row r="1123" spans="1:15" x14ac:dyDescent="0.35">
      <c r="A1123">
        <v>1122</v>
      </c>
      <c r="B1123" t="s">
        <v>15</v>
      </c>
      <c r="C1123" t="s">
        <v>19</v>
      </c>
      <c r="D1123" s="1">
        <v>45302</v>
      </c>
      <c r="E1123" t="s">
        <v>27</v>
      </c>
      <c r="F1123">
        <v>19</v>
      </c>
      <c r="G1123">
        <v>92</v>
      </c>
      <c r="H1123">
        <v>0</v>
      </c>
      <c r="I1123">
        <v>414</v>
      </c>
      <c r="J1123">
        <v>110</v>
      </c>
      <c r="K1123">
        <v>559</v>
      </c>
      <c r="L1123">
        <v>304</v>
      </c>
      <c r="M1123">
        <v>3.35024154589372</v>
      </c>
      <c r="N1123" t="s">
        <v>18</v>
      </c>
      <c r="O1123">
        <v>1</v>
      </c>
    </row>
    <row r="1124" spans="1:15" x14ac:dyDescent="0.35">
      <c r="A1124">
        <v>1123</v>
      </c>
      <c r="B1124" t="s">
        <v>15</v>
      </c>
      <c r="C1124" t="s">
        <v>24</v>
      </c>
      <c r="D1124" s="1">
        <v>45406</v>
      </c>
      <c r="E1124" t="s">
        <v>25</v>
      </c>
      <c r="F1124">
        <v>15</v>
      </c>
      <c r="G1124">
        <v>135</v>
      </c>
      <c r="H1124">
        <v>12</v>
      </c>
      <c r="I1124">
        <v>246</v>
      </c>
      <c r="J1124">
        <v>237</v>
      </c>
      <c r="K1124">
        <v>439</v>
      </c>
      <c r="L1124">
        <v>395</v>
      </c>
      <c r="M1124">
        <v>5.3536585365853604</v>
      </c>
      <c r="N1124" t="s">
        <v>18</v>
      </c>
      <c r="O1124">
        <v>0</v>
      </c>
    </row>
    <row r="1125" spans="1:15" x14ac:dyDescent="0.35">
      <c r="A1125">
        <v>1124</v>
      </c>
      <c r="B1125" t="s">
        <v>15</v>
      </c>
      <c r="C1125" t="s">
        <v>24</v>
      </c>
      <c r="D1125" s="1">
        <v>45349</v>
      </c>
      <c r="E1125" t="s">
        <v>17</v>
      </c>
      <c r="F1125">
        <v>17</v>
      </c>
      <c r="G1125">
        <v>59</v>
      </c>
      <c r="H1125">
        <v>19</v>
      </c>
      <c r="I1125">
        <v>4078</v>
      </c>
      <c r="J1125">
        <v>178</v>
      </c>
      <c r="K1125">
        <v>114</v>
      </c>
      <c r="L1125">
        <v>230</v>
      </c>
      <c r="M1125">
        <v>1.1280039234918999</v>
      </c>
      <c r="N1125" t="s">
        <v>23</v>
      </c>
      <c r="O1125">
        <v>0</v>
      </c>
    </row>
    <row r="1126" spans="1:15" x14ac:dyDescent="0.35">
      <c r="A1126">
        <v>1125</v>
      </c>
      <c r="B1126" t="s">
        <v>26</v>
      </c>
      <c r="C1126" t="s">
        <v>16</v>
      </c>
      <c r="D1126" s="1">
        <v>45462</v>
      </c>
      <c r="E1126" t="s">
        <v>25</v>
      </c>
      <c r="F1126">
        <v>11</v>
      </c>
      <c r="G1126">
        <v>239</v>
      </c>
      <c r="H1126">
        <v>16</v>
      </c>
      <c r="I1126">
        <v>1019</v>
      </c>
      <c r="J1126">
        <v>374</v>
      </c>
      <c r="K1126">
        <v>88</v>
      </c>
      <c r="L1126">
        <v>45</v>
      </c>
      <c r="M1126">
        <v>1.49754661432777</v>
      </c>
      <c r="N1126" t="s">
        <v>23</v>
      </c>
      <c r="O1126">
        <v>0</v>
      </c>
    </row>
    <row r="1127" spans="1:15" x14ac:dyDescent="0.35">
      <c r="A1127">
        <v>1126</v>
      </c>
      <c r="B1127" t="s">
        <v>26</v>
      </c>
      <c r="C1127" t="s">
        <v>19</v>
      </c>
      <c r="D1127" s="1">
        <v>45463</v>
      </c>
      <c r="E1127" t="s">
        <v>27</v>
      </c>
      <c r="F1127">
        <v>15</v>
      </c>
      <c r="G1127">
        <v>166</v>
      </c>
      <c r="H1127">
        <v>11</v>
      </c>
      <c r="I1127">
        <v>4962</v>
      </c>
      <c r="J1127">
        <v>190</v>
      </c>
      <c r="K1127">
        <v>437</v>
      </c>
      <c r="L1127">
        <v>154</v>
      </c>
      <c r="M1127">
        <v>1.1573962112051499</v>
      </c>
      <c r="N1127" t="s">
        <v>23</v>
      </c>
      <c r="O1127">
        <v>0</v>
      </c>
    </row>
    <row r="1128" spans="1:15" x14ac:dyDescent="0.35">
      <c r="A1128">
        <v>1127</v>
      </c>
      <c r="B1128" t="s">
        <v>26</v>
      </c>
      <c r="C1128" t="s">
        <v>16</v>
      </c>
      <c r="D1128" s="1">
        <v>45345</v>
      </c>
      <c r="E1128" t="s">
        <v>30</v>
      </c>
      <c r="F1128">
        <v>6</v>
      </c>
      <c r="G1128">
        <v>96</v>
      </c>
      <c r="H1128">
        <v>20</v>
      </c>
      <c r="I1128">
        <v>2270</v>
      </c>
      <c r="J1128">
        <v>516</v>
      </c>
      <c r="K1128">
        <v>379</v>
      </c>
      <c r="L1128">
        <v>272</v>
      </c>
      <c r="M1128">
        <v>1.5140969162995499</v>
      </c>
      <c r="N1128" t="s">
        <v>23</v>
      </c>
      <c r="O1128">
        <v>0</v>
      </c>
    </row>
    <row r="1129" spans="1:15" x14ac:dyDescent="0.35">
      <c r="A1129">
        <v>1128</v>
      </c>
      <c r="B1129" t="s">
        <v>26</v>
      </c>
      <c r="C1129" t="s">
        <v>24</v>
      </c>
      <c r="D1129" s="1">
        <v>45367</v>
      </c>
      <c r="E1129" t="s">
        <v>28</v>
      </c>
      <c r="F1129">
        <v>8</v>
      </c>
      <c r="G1129">
        <v>77</v>
      </c>
      <c r="H1129">
        <v>18</v>
      </c>
      <c r="I1129">
        <v>2673</v>
      </c>
      <c r="J1129">
        <v>156</v>
      </c>
      <c r="K1129">
        <v>401</v>
      </c>
      <c r="L1129">
        <v>458</v>
      </c>
      <c r="M1129">
        <v>1.3797231575009301</v>
      </c>
      <c r="N1129" t="s">
        <v>23</v>
      </c>
      <c r="O1129">
        <v>0</v>
      </c>
    </row>
    <row r="1130" spans="1:15" x14ac:dyDescent="0.35">
      <c r="A1130">
        <v>1129</v>
      </c>
      <c r="B1130" t="s">
        <v>15</v>
      </c>
      <c r="C1130" t="s">
        <v>16</v>
      </c>
      <c r="D1130" s="1">
        <v>45510</v>
      </c>
      <c r="E1130" t="s">
        <v>17</v>
      </c>
      <c r="F1130">
        <v>18</v>
      </c>
      <c r="G1130">
        <v>200</v>
      </c>
      <c r="H1130">
        <v>10</v>
      </c>
      <c r="I1130">
        <v>2331</v>
      </c>
      <c r="J1130">
        <v>153</v>
      </c>
      <c r="K1130">
        <v>94</v>
      </c>
      <c r="L1130">
        <v>331</v>
      </c>
      <c r="M1130">
        <v>1.2479622479622401</v>
      </c>
      <c r="N1130" t="s">
        <v>23</v>
      </c>
      <c r="O1130">
        <v>0</v>
      </c>
    </row>
    <row r="1131" spans="1:15" x14ac:dyDescent="0.35">
      <c r="A1131">
        <v>1130</v>
      </c>
      <c r="B1131" t="s">
        <v>26</v>
      </c>
      <c r="C1131" t="s">
        <v>24</v>
      </c>
      <c r="D1131" s="1">
        <v>45545</v>
      </c>
      <c r="E1131" t="s">
        <v>17</v>
      </c>
      <c r="F1131">
        <v>10</v>
      </c>
      <c r="G1131">
        <v>145</v>
      </c>
      <c r="H1131">
        <v>12</v>
      </c>
      <c r="I1131">
        <v>3522</v>
      </c>
      <c r="J1131">
        <v>497</v>
      </c>
      <c r="K1131">
        <v>425</v>
      </c>
      <c r="L1131">
        <v>617</v>
      </c>
      <c r="M1131">
        <v>1.43696763202725</v>
      </c>
      <c r="N1131" t="s">
        <v>23</v>
      </c>
      <c r="O1131">
        <v>0</v>
      </c>
    </row>
    <row r="1132" spans="1:15" x14ac:dyDescent="0.35">
      <c r="A1132">
        <v>1131</v>
      </c>
      <c r="B1132" t="s">
        <v>22</v>
      </c>
      <c r="C1132" t="s">
        <v>19</v>
      </c>
      <c r="D1132" s="1">
        <v>45506</v>
      </c>
      <c r="E1132" t="s">
        <v>30</v>
      </c>
      <c r="F1132">
        <v>23</v>
      </c>
      <c r="G1132">
        <v>137</v>
      </c>
      <c r="H1132">
        <v>12</v>
      </c>
      <c r="I1132">
        <v>4550</v>
      </c>
      <c r="J1132">
        <v>514</v>
      </c>
      <c r="K1132">
        <v>553</v>
      </c>
      <c r="L1132">
        <v>547</v>
      </c>
      <c r="M1132">
        <v>1.35472527472527</v>
      </c>
      <c r="N1132" t="s">
        <v>23</v>
      </c>
      <c r="O1132">
        <v>0</v>
      </c>
    </row>
    <row r="1133" spans="1:15" x14ac:dyDescent="0.35">
      <c r="A1133">
        <v>1132</v>
      </c>
      <c r="B1133" t="s">
        <v>26</v>
      </c>
      <c r="C1133" t="s">
        <v>19</v>
      </c>
      <c r="D1133" s="1">
        <v>45334</v>
      </c>
      <c r="E1133" t="s">
        <v>29</v>
      </c>
      <c r="F1133">
        <v>13</v>
      </c>
      <c r="G1133">
        <v>64</v>
      </c>
      <c r="H1133">
        <v>7</v>
      </c>
      <c r="I1133">
        <v>4809</v>
      </c>
      <c r="J1133">
        <v>737</v>
      </c>
      <c r="K1133">
        <v>433</v>
      </c>
      <c r="L1133">
        <v>540</v>
      </c>
      <c r="M1133">
        <v>1.35558328134747</v>
      </c>
      <c r="N1133" t="s">
        <v>23</v>
      </c>
      <c r="O1133">
        <v>0</v>
      </c>
    </row>
    <row r="1134" spans="1:15" x14ac:dyDescent="0.35">
      <c r="A1134">
        <v>1133</v>
      </c>
      <c r="B1134" t="s">
        <v>26</v>
      </c>
      <c r="C1134" t="s">
        <v>24</v>
      </c>
      <c r="D1134" s="1">
        <v>45477</v>
      </c>
      <c r="E1134" t="s">
        <v>27</v>
      </c>
      <c r="F1134">
        <v>10</v>
      </c>
      <c r="G1134">
        <v>76</v>
      </c>
      <c r="H1134">
        <v>1</v>
      </c>
      <c r="I1134">
        <v>73</v>
      </c>
      <c r="J1134">
        <v>213</v>
      </c>
      <c r="K1134">
        <v>19</v>
      </c>
      <c r="L1134">
        <v>372</v>
      </c>
      <c r="M1134">
        <v>9.27397260273972</v>
      </c>
      <c r="N1134" t="s">
        <v>18</v>
      </c>
      <c r="O1134">
        <v>0</v>
      </c>
    </row>
    <row r="1135" spans="1:15" x14ac:dyDescent="0.35">
      <c r="A1135">
        <v>1134</v>
      </c>
      <c r="B1135" t="s">
        <v>15</v>
      </c>
      <c r="C1135" t="s">
        <v>19</v>
      </c>
      <c r="D1135" s="1">
        <v>45470</v>
      </c>
      <c r="E1135" t="s">
        <v>27</v>
      </c>
      <c r="F1135">
        <v>19</v>
      </c>
      <c r="G1135">
        <v>144</v>
      </c>
      <c r="H1135">
        <v>6</v>
      </c>
      <c r="I1135">
        <v>3006</v>
      </c>
      <c r="J1135">
        <v>147</v>
      </c>
      <c r="K1135">
        <v>303</v>
      </c>
      <c r="L1135">
        <v>472</v>
      </c>
      <c r="M1135">
        <v>1.3067198935462401</v>
      </c>
      <c r="N1135" t="s">
        <v>23</v>
      </c>
      <c r="O1135">
        <v>0</v>
      </c>
    </row>
    <row r="1136" spans="1:15" x14ac:dyDescent="0.35">
      <c r="A1136">
        <v>1135</v>
      </c>
      <c r="B1136" t="s">
        <v>26</v>
      </c>
      <c r="C1136" t="s">
        <v>19</v>
      </c>
      <c r="D1136" s="1">
        <v>45406</v>
      </c>
      <c r="E1136" t="s">
        <v>25</v>
      </c>
      <c r="F1136">
        <v>10</v>
      </c>
      <c r="G1136">
        <v>213</v>
      </c>
      <c r="H1136">
        <v>0</v>
      </c>
      <c r="I1136">
        <v>507</v>
      </c>
      <c r="J1136">
        <v>769</v>
      </c>
      <c r="K1136">
        <v>143</v>
      </c>
      <c r="L1136">
        <v>121</v>
      </c>
      <c r="M1136">
        <v>3.0374753451676502</v>
      </c>
      <c r="N1136" t="s">
        <v>18</v>
      </c>
      <c r="O1136">
        <v>0</v>
      </c>
    </row>
    <row r="1137" spans="1:15" x14ac:dyDescent="0.35">
      <c r="A1137">
        <v>1136</v>
      </c>
      <c r="B1137" t="s">
        <v>26</v>
      </c>
      <c r="C1137" t="s">
        <v>16</v>
      </c>
      <c r="D1137" s="1">
        <v>45509</v>
      </c>
      <c r="E1137" t="s">
        <v>29</v>
      </c>
      <c r="F1137">
        <v>21</v>
      </c>
      <c r="G1137">
        <v>100</v>
      </c>
      <c r="H1137">
        <v>0</v>
      </c>
      <c r="I1137">
        <v>3094</v>
      </c>
      <c r="J1137">
        <v>60</v>
      </c>
      <c r="K1137">
        <v>110</v>
      </c>
      <c r="L1137">
        <v>679</v>
      </c>
      <c r="M1137">
        <v>1.2744020685197099</v>
      </c>
      <c r="N1137" t="s">
        <v>23</v>
      </c>
      <c r="O1137">
        <v>0</v>
      </c>
    </row>
    <row r="1138" spans="1:15" x14ac:dyDescent="0.35">
      <c r="A1138">
        <v>1137</v>
      </c>
      <c r="B1138" t="s">
        <v>15</v>
      </c>
      <c r="C1138" t="s">
        <v>16</v>
      </c>
      <c r="D1138" s="1">
        <v>45367</v>
      </c>
      <c r="E1138" t="s">
        <v>28</v>
      </c>
      <c r="F1138">
        <v>19</v>
      </c>
      <c r="G1138">
        <v>96</v>
      </c>
      <c r="H1138">
        <v>5</v>
      </c>
      <c r="I1138">
        <v>3042</v>
      </c>
      <c r="J1138">
        <v>149</v>
      </c>
      <c r="K1138">
        <v>82</v>
      </c>
      <c r="L1138">
        <v>251</v>
      </c>
      <c r="M1138">
        <v>1.1584483892176201</v>
      </c>
      <c r="N1138" t="s">
        <v>23</v>
      </c>
      <c r="O1138">
        <v>0</v>
      </c>
    </row>
    <row r="1139" spans="1:15" x14ac:dyDescent="0.35">
      <c r="A1139">
        <v>1138</v>
      </c>
      <c r="B1139" t="s">
        <v>22</v>
      </c>
      <c r="C1139" t="s">
        <v>24</v>
      </c>
      <c r="D1139" s="1">
        <v>45532</v>
      </c>
      <c r="E1139" t="s">
        <v>25</v>
      </c>
      <c r="F1139">
        <v>16</v>
      </c>
      <c r="G1139">
        <v>247</v>
      </c>
      <c r="H1139">
        <v>20</v>
      </c>
      <c r="I1139">
        <v>1197</v>
      </c>
      <c r="J1139">
        <v>771</v>
      </c>
      <c r="K1139">
        <v>542</v>
      </c>
      <c r="L1139">
        <v>307</v>
      </c>
      <c r="M1139">
        <v>2.35338345864661</v>
      </c>
      <c r="N1139" t="s">
        <v>21</v>
      </c>
      <c r="O1139">
        <v>0</v>
      </c>
    </row>
    <row r="1140" spans="1:15" x14ac:dyDescent="0.35">
      <c r="A1140">
        <v>1139</v>
      </c>
      <c r="B1140" t="s">
        <v>26</v>
      </c>
      <c r="C1140" t="s">
        <v>16</v>
      </c>
      <c r="D1140" s="1">
        <v>45298</v>
      </c>
      <c r="E1140" t="s">
        <v>20</v>
      </c>
      <c r="F1140">
        <v>11</v>
      </c>
      <c r="G1140">
        <v>277</v>
      </c>
      <c r="H1140">
        <v>5</v>
      </c>
      <c r="I1140">
        <v>2399</v>
      </c>
      <c r="J1140">
        <v>118</v>
      </c>
      <c r="K1140">
        <v>161</v>
      </c>
      <c r="L1140">
        <v>62</v>
      </c>
      <c r="M1140">
        <v>1.1421425593997401</v>
      </c>
      <c r="N1140" t="s">
        <v>23</v>
      </c>
      <c r="O1140">
        <v>0</v>
      </c>
    </row>
    <row r="1141" spans="1:15" x14ac:dyDescent="0.35">
      <c r="A1141">
        <v>1140</v>
      </c>
      <c r="B1141" t="s">
        <v>26</v>
      </c>
      <c r="C1141" t="s">
        <v>24</v>
      </c>
      <c r="D1141" s="1">
        <v>45297</v>
      </c>
      <c r="E1141" t="s">
        <v>28</v>
      </c>
      <c r="F1141">
        <v>22</v>
      </c>
      <c r="G1141">
        <v>176</v>
      </c>
      <c r="H1141">
        <v>7</v>
      </c>
      <c r="I1141">
        <v>3297</v>
      </c>
      <c r="J1141">
        <v>438</v>
      </c>
      <c r="K1141">
        <v>467</v>
      </c>
      <c r="L1141">
        <v>568</v>
      </c>
      <c r="M1141">
        <v>1.4467697907188299</v>
      </c>
      <c r="N1141" t="s">
        <v>23</v>
      </c>
      <c r="O1141">
        <v>0</v>
      </c>
    </row>
    <row r="1142" spans="1:15" x14ac:dyDescent="0.35">
      <c r="A1142">
        <v>1141</v>
      </c>
      <c r="B1142" t="s">
        <v>22</v>
      </c>
      <c r="C1142" t="s">
        <v>16</v>
      </c>
      <c r="D1142" s="1">
        <v>45508</v>
      </c>
      <c r="E1142" t="s">
        <v>20</v>
      </c>
      <c r="F1142">
        <v>12</v>
      </c>
      <c r="G1142">
        <v>225</v>
      </c>
      <c r="H1142">
        <v>19</v>
      </c>
      <c r="I1142">
        <v>1334</v>
      </c>
      <c r="J1142">
        <v>283</v>
      </c>
      <c r="K1142">
        <v>96</v>
      </c>
      <c r="L1142">
        <v>535</v>
      </c>
      <c r="M1142">
        <v>1.6851574212893501</v>
      </c>
      <c r="N1142" t="s">
        <v>21</v>
      </c>
      <c r="O1142">
        <v>0</v>
      </c>
    </row>
    <row r="1143" spans="1:15" x14ac:dyDescent="0.35">
      <c r="A1143">
        <v>1142</v>
      </c>
      <c r="B1143" t="s">
        <v>26</v>
      </c>
      <c r="C1143" t="s">
        <v>16</v>
      </c>
      <c r="D1143" s="1">
        <v>45320</v>
      </c>
      <c r="E1143" t="s">
        <v>29</v>
      </c>
      <c r="F1143">
        <v>20</v>
      </c>
      <c r="G1143">
        <v>264</v>
      </c>
      <c r="H1143">
        <v>10</v>
      </c>
      <c r="I1143">
        <v>1843</v>
      </c>
      <c r="J1143">
        <v>406</v>
      </c>
      <c r="K1143">
        <v>190</v>
      </c>
      <c r="L1143">
        <v>573</v>
      </c>
      <c r="M1143">
        <v>1.6342919153553901</v>
      </c>
      <c r="N1143" t="s">
        <v>21</v>
      </c>
      <c r="O1143">
        <v>0</v>
      </c>
    </row>
    <row r="1144" spans="1:15" x14ac:dyDescent="0.35">
      <c r="A1144">
        <v>1143</v>
      </c>
      <c r="B1144" t="s">
        <v>26</v>
      </c>
      <c r="C1144" t="s">
        <v>24</v>
      </c>
      <c r="D1144" s="1">
        <v>45499</v>
      </c>
      <c r="E1144" t="s">
        <v>30</v>
      </c>
      <c r="F1144">
        <v>12</v>
      </c>
      <c r="G1144">
        <v>158</v>
      </c>
      <c r="H1144">
        <v>3</v>
      </c>
      <c r="I1144">
        <v>3166</v>
      </c>
      <c r="J1144">
        <v>173</v>
      </c>
      <c r="K1144">
        <v>57</v>
      </c>
      <c r="L1144">
        <v>381</v>
      </c>
      <c r="M1144">
        <v>1.1929879974731501</v>
      </c>
      <c r="N1144" t="s">
        <v>23</v>
      </c>
      <c r="O1144">
        <v>0</v>
      </c>
    </row>
    <row r="1145" spans="1:15" x14ac:dyDescent="0.35">
      <c r="A1145">
        <v>1144</v>
      </c>
      <c r="B1145" t="s">
        <v>15</v>
      </c>
      <c r="C1145" t="s">
        <v>24</v>
      </c>
      <c r="D1145" s="1">
        <v>45345</v>
      </c>
      <c r="E1145" t="s">
        <v>30</v>
      </c>
      <c r="F1145">
        <v>11</v>
      </c>
      <c r="G1145">
        <v>297</v>
      </c>
      <c r="H1145">
        <v>3</v>
      </c>
      <c r="I1145">
        <v>687</v>
      </c>
      <c r="J1145">
        <v>376</v>
      </c>
      <c r="K1145">
        <v>345</v>
      </c>
      <c r="L1145">
        <v>29</v>
      </c>
      <c r="M1145">
        <v>2.0917030567685502</v>
      </c>
      <c r="N1145" t="s">
        <v>21</v>
      </c>
      <c r="O1145">
        <v>0</v>
      </c>
    </row>
    <row r="1146" spans="1:15" x14ac:dyDescent="0.35">
      <c r="A1146">
        <v>1145</v>
      </c>
      <c r="B1146" t="s">
        <v>15</v>
      </c>
      <c r="C1146" t="s">
        <v>19</v>
      </c>
      <c r="D1146" s="1">
        <v>45325</v>
      </c>
      <c r="E1146" t="s">
        <v>28</v>
      </c>
      <c r="F1146">
        <v>12</v>
      </c>
      <c r="G1146">
        <v>36</v>
      </c>
      <c r="H1146">
        <v>7</v>
      </c>
      <c r="I1146">
        <v>1785</v>
      </c>
      <c r="J1146">
        <v>616</v>
      </c>
      <c r="K1146">
        <v>13</v>
      </c>
      <c r="L1146">
        <v>317</v>
      </c>
      <c r="M1146">
        <v>1.5299719887955101</v>
      </c>
      <c r="N1146" t="s">
        <v>23</v>
      </c>
      <c r="O1146">
        <v>0</v>
      </c>
    </row>
    <row r="1147" spans="1:15" x14ac:dyDescent="0.35">
      <c r="A1147">
        <v>1146</v>
      </c>
      <c r="B1147" t="s">
        <v>26</v>
      </c>
      <c r="C1147" t="s">
        <v>24</v>
      </c>
      <c r="D1147" s="1">
        <v>45429</v>
      </c>
      <c r="E1147" t="s">
        <v>30</v>
      </c>
      <c r="F1147">
        <v>7</v>
      </c>
      <c r="G1147">
        <v>44</v>
      </c>
      <c r="H1147">
        <v>10</v>
      </c>
      <c r="I1147">
        <v>746</v>
      </c>
      <c r="J1147">
        <v>588</v>
      </c>
      <c r="K1147">
        <v>580</v>
      </c>
      <c r="L1147">
        <v>46</v>
      </c>
      <c r="M1147">
        <v>2.6273458445040201</v>
      </c>
      <c r="N1147" t="s">
        <v>18</v>
      </c>
      <c r="O1147">
        <v>1</v>
      </c>
    </row>
    <row r="1148" spans="1:15" x14ac:dyDescent="0.35">
      <c r="A1148">
        <v>1147</v>
      </c>
      <c r="B1148" t="s">
        <v>22</v>
      </c>
      <c r="C1148" t="s">
        <v>19</v>
      </c>
      <c r="D1148" s="1">
        <v>45339</v>
      </c>
      <c r="E1148" t="s">
        <v>28</v>
      </c>
      <c r="F1148">
        <v>12</v>
      </c>
      <c r="G1148">
        <v>181</v>
      </c>
      <c r="H1148">
        <v>12</v>
      </c>
      <c r="I1148">
        <v>2578</v>
      </c>
      <c r="J1148">
        <v>13</v>
      </c>
      <c r="K1148">
        <v>367</v>
      </c>
      <c r="L1148">
        <v>290</v>
      </c>
      <c r="M1148">
        <v>1.25989138867339</v>
      </c>
      <c r="N1148" t="s">
        <v>23</v>
      </c>
      <c r="O1148">
        <v>0</v>
      </c>
    </row>
    <row r="1149" spans="1:15" x14ac:dyDescent="0.35">
      <c r="A1149">
        <v>1148</v>
      </c>
      <c r="B1149" t="s">
        <v>22</v>
      </c>
      <c r="C1149" t="s">
        <v>19</v>
      </c>
      <c r="D1149" s="1">
        <v>45474</v>
      </c>
      <c r="E1149" t="s">
        <v>29</v>
      </c>
      <c r="F1149">
        <v>22</v>
      </c>
      <c r="G1149">
        <v>71</v>
      </c>
      <c r="H1149">
        <v>16</v>
      </c>
      <c r="I1149">
        <v>1111</v>
      </c>
      <c r="J1149">
        <v>724</v>
      </c>
      <c r="K1149">
        <v>101</v>
      </c>
      <c r="L1149">
        <v>340</v>
      </c>
      <c r="M1149">
        <v>2.0486048604860398</v>
      </c>
      <c r="N1149" t="s">
        <v>21</v>
      </c>
      <c r="O1149">
        <v>0</v>
      </c>
    </row>
    <row r="1150" spans="1:15" x14ac:dyDescent="0.35">
      <c r="A1150">
        <v>1149</v>
      </c>
      <c r="B1150" t="s">
        <v>26</v>
      </c>
      <c r="C1150" t="s">
        <v>16</v>
      </c>
      <c r="D1150" s="1">
        <v>45368</v>
      </c>
      <c r="E1150" t="s">
        <v>20</v>
      </c>
      <c r="F1150">
        <v>15</v>
      </c>
      <c r="G1150">
        <v>102</v>
      </c>
      <c r="H1150">
        <v>4</v>
      </c>
      <c r="I1150">
        <v>244</v>
      </c>
      <c r="J1150">
        <v>606</v>
      </c>
      <c r="K1150">
        <v>393</v>
      </c>
      <c r="L1150">
        <v>489</v>
      </c>
      <c r="M1150">
        <v>7.0983606557377001</v>
      </c>
      <c r="N1150" t="s">
        <v>18</v>
      </c>
      <c r="O1150">
        <v>0</v>
      </c>
    </row>
    <row r="1151" spans="1:15" x14ac:dyDescent="0.35">
      <c r="A1151">
        <v>1150</v>
      </c>
      <c r="B1151" t="s">
        <v>15</v>
      </c>
      <c r="C1151" t="s">
        <v>19</v>
      </c>
      <c r="D1151" s="1">
        <v>45529</v>
      </c>
      <c r="E1151" t="s">
        <v>20</v>
      </c>
      <c r="F1151">
        <v>10</v>
      </c>
      <c r="G1151">
        <v>102</v>
      </c>
      <c r="H1151">
        <v>16</v>
      </c>
      <c r="I1151">
        <v>695</v>
      </c>
      <c r="J1151">
        <v>645</v>
      </c>
      <c r="K1151">
        <v>97</v>
      </c>
      <c r="L1151">
        <v>238</v>
      </c>
      <c r="M1151">
        <v>2.4100719424460402</v>
      </c>
      <c r="N1151" t="s">
        <v>18</v>
      </c>
      <c r="O1151">
        <v>0</v>
      </c>
    </row>
    <row r="1152" spans="1:15" x14ac:dyDescent="0.35">
      <c r="A1152">
        <v>1151</v>
      </c>
      <c r="B1152" t="s">
        <v>15</v>
      </c>
      <c r="C1152" t="s">
        <v>24</v>
      </c>
      <c r="D1152" s="1">
        <v>45556</v>
      </c>
      <c r="E1152" t="s">
        <v>28</v>
      </c>
      <c r="F1152">
        <v>15</v>
      </c>
      <c r="G1152">
        <v>204</v>
      </c>
      <c r="H1152">
        <v>19</v>
      </c>
      <c r="I1152">
        <v>4336</v>
      </c>
      <c r="J1152">
        <v>792</v>
      </c>
      <c r="K1152">
        <v>351</v>
      </c>
      <c r="L1152">
        <v>459</v>
      </c>
      <c r="M1152">
        <v>1.36946494464944</v>
      </c>
      <c r="N1152" t="s">
        <v>23</v>
      </c>
      <c r="O1152">
        <v>0</v>
      </c>
    </row>
    <row r="1153" spans="1:15" x14ac:dyDescent="0.35">
      <c r="A1153">
        <v>1152</v>
      </c>
      <c r="B1153" t="s">
        <v>15</v>
      </c>
      <c r="C1153" t="s">
        <v>19</v>
      </c>
      <c r="D1153" s="1">
        <v>45512</v>
      </c>
      <c r="E1153" t="s">
        <v>27</v>
      </c>
      <c r="F1153">
        <v>8</v>
      </c>
      <c r="G1153">
        <v>98</v>
      </c>
      <c r="H1153">
        <v>18</v>
      </c>
      <c r="I1153">
        <v>377</v>
      </c>
      <c r="J1153">
        <v>734</v>
      </c>
      <c r="K1153">
        <v>398</v>
      </c>
      <c r="L1153">
        <v>245</v>
      </c>
      <c r="M1153">
        <v>4.6525198938991998</v>
      </c>
      <c r="N1153" t="s">
        <v>18</v>
      </c>
      <c r="O1153">
        <v>0</v>
      </c>
    </row>
    <row r="1154" spans="1:15" x14ac:dyDescent="0.35">
      <c r="A1154">
        <v>1153</v>
      </c>
      <c r="B1154" t="s">
        <v>26</v>
      </c>
      <c r="C1154" t="s">
        <v>16</v>
      </c>
      <c r="D1154" s="1">
        <v>45546</v>
      </c>
      <c r="E1154" t="s">
        <v>25</v>
      </c>
      <c r="F1154">
        <v>21</v>
      </c>
      <c r="G1154">
        <v>68</v>
      </c>
      <c r="H1154">
        <v>14</v>
      </c>
      <c r="I1154">
        <v>847</v>
      </c>
      <c r="J1154">
        <v>20</v>
      </c>
      <c r="K1154">
        <v>148</v>
      </c>
      <c r="L1154">
        <v>317</v>
      </c>
      <c r="M1154">
        <v>1.5726092089728401</v>
      </c>
      <c r="N1154" t="s">
        <v>23</v>
      </c>
      <c r="O1154">
        <v>0</v>
      </c>
    </row>
    <row r="1155" spans="1:15" x14ac:dyDescent="0.35">
      <c r="A1155">
        <v>1154</v>
      </c>
      <c r="B1155" t="s">
        <v>22</v>
      </c>
      <c r="C1155" t="s">
        <v>19</v>
      </c>
      <c r="D1155" s="1">
        <v>45452</v>
      </c>
      <c r="E1155" t="s">
        <v>20</v>
      </c>
      <c r="F1155">
        <v>17</v>
      </c>
      <c r="G1155">
        <v>200</v>
      </c>
      <c r="H1155">
        <v>2</v>
      </c>
      <c r="I1155">
        <v>1440</v>
      </c>
      <c r="J1155">
        <v>307</v>
      </c>
      <c r="K1155">
        <v>167</v>
      </c>
      <c r="L1155">
        <v>70</v>
      </c>
      <c r="M1155">
        <v>1.37777777777777</v>
      </c>
      <c r="N1155" t="s">
        <v>23</v>
      </c>
      <c r="O1155">
        <v>0</v>
      </c>
    </row>
    <row r="1156" spans="1:15" x14ac:dyDescent="0.35">
      <c r="A1156">
        <v>1155</v>
      </c>
      <c r="B1156" t="s">
        <v>22</v>
      </c>
      <c r="C1156" t="s">
        <v>24</v>
      </c>
      <c r="D1156" s="1">
        <v>45328</v>
      </c>
      <c r="E1156" t="s">
        <v>17</v>
      </c>
      <c r="F1156">
        <v>20</v>
      </c>
      <c r="G1156">
        <v>91</v>
      </c>
      <c r="H1156">
        <v>3</v>
      </c>
      <c r="I1156">
        <v>1517</v>
      </c>
      <c r="J1156">
        <v>732</v>
      </c>
      <c r="K1156">
        <v>473</v>
      </c>
      <c r="L1156">
        <v>265</v>
      </c>
      <c r="M1156">
        <v>1.9690177982860899</v>
      </c>
      <c r="N1156" t="s">
        <v>21</v>
      </c>
      <c r="O1156">
        <v>0</v>
      </c>
    </row>
    <row r="1157" spans="1:15" x14ac:dyDescent="0.35">
      <c r="A1157">
        <v>1156</v>
      </c>
      <c r="B1157" t="s">
        <v>22</v>
      </c>
      <c r="C1157" t="s">
        <v>24</v>
      </c>
      <c r="D1157" s="1">
        <v>45583</v>
      </c>
      <c r="E1157" t="s">
        <v>30</v>
      </c>
      <c r="F1157">
        <v>10</v>
      </c>
      <c r="G1157">
        <v>245</v>
      </c>
      <c r="H1157">
        <v>11</v>
      </c>
      <c r="I1157">
        <v>4049</v>
      </c>
      <c r="J1157">
        <v>45</v>
      </c>
      <c r="K1157">
        <v>374</v>
      </c>
      <c r="L1157">
        <v>294</v>
      </c>
      <c r="M1157">
        <v>1.1760928624351601</v>
      </c>
      <c r="N1157" t="s">
        <v>23</v>
      </c>
      <c r="O1157">
        <v>0</v>
      </c>
    </row>
    <row r="1158" spans="1:15" x14ac:dyDescent="0.35">
      <c r="A1158">
        <v>1157</v>
      </c>
      <c r="B1158" t="s">
        <v>22</v>
      </c>
      <c r="C1158" t="s">
        <v>19</v>
      </c>
      <c r="D1158" s="1">
        <v>45554</v>
      </c>
      <c r="E1158" t="s">
        <v>27</v>
      </c>
      <c r="F1158">
        <v>20</v>
      </c>
      <c r="G1158">
        <v>154</v>
      </c>
      <c r="H1158">
        <v>1</v>
      </c>
      <c r="I1158">
        <v>2619</v>
      </c>
      <c r="J1158">
        <v>387</v>
      </c>
      <c r="K1158">
        <v>87</v>
      </c>
      <c r="L1158">
        <v>699</v>
      </c>
      <c r="M1158">
        <v>1.44788087056128</v>
      </c>
      <c r="N1158" t="s">
        <v>23</v>
      </c>
      <c r="O1158">
        <v>0</v>
      </c>
    </row>
    <row r="1159" spans="1:15" x14ac:dyDescent="0.35">
      <c r="A1159">
        <v>1158</v>
      </c>
      <c r="B1159" t="s">
        <v>15</v>
      </c>
      <c r="C1159" t="s">
        <v>16</v>
      </c>
      <c r="D1159" s="1">
        <v>45321</v>
      </c>
      <c r="E1159" t="s">
        <v>17</v>
      </c>
      <c r="F1159">
        <v>15</v>
      </c>
      <c r="G1159">
        <v>212</v>
      </c>
      <c r="H1159">
        <v>5</v>
      </c>
      <c r="I1159">
        <v>2055</v>
      </c>
      <c r="J1159">
        <v>721</v>
      </c>
      <c r="K1159">
        <v>576</v>
      </c>
      <c r="L1159">
        <v>9</v>
      </c>
      <c r="M1159">
        <v>1.63552311435523</v>
      </c>
      <c r="N1159" t="s">
        <v>21</v>
      </c>
      <c r="O1159">
        <v>0</v>
      </c>
    </row>
    <row r="1160" spans="1:15" x14ac:dyDescent="0.35">
      <c r="A1160">
        <v>1159</v>
      </c>
      <c r="B1160" t="s">
        <v>22</v>
      </c>
      <c r="C1160" t="s">
        <v>19</v>
      </c>
      <c r="D1160" s="1">
        <v>45583</v>
      </c>
      <c r="E1160" t="s">
        <v>30</v>
      </c>
      <c r="F1160">
        <v>8</v>
      </c>
      <c r="G1160">
        <v>198</v>
      </c>
      <c r="H1160">
        <v>14</v>
      </c>
      <c r="I1160">
        <v>3320</v>
      </c>
      <c r="J1160">
        <v>79</v>
      </c>
      <c r="K1160">
        <v>230</v>
      </c>
      <c r="L1160">
        <v>398</v>
      </c>
      <c r="M1160">
        <v>1.2129518072289101</v>
      </c>
      <c r="N1160" t="s">
        <v>23</v>
      </c>
      <c r="O1160">
        <v>0</v>
      </c>
    </row>
    <row r="1161" spans="1:15" x14ac:dyDescent="0.35">
      <c r="A1161">
        <v>1160</v>
      </c>
      <c r="B1161" t="s">
        <v>15</v>
      </c>
      <c r="C1161" t="s">
        <v>19</v>
      </c>
      <c r="D1161" s="1">
        <v>45531</v>
      </c>
      <c r="E1161" t="s">
        <v>17</v>
      </c>
      <c r="F1161">
        <v>9</v>
      </c>
      <c r="G1161">
        <v>223</v>
      </c>
      <c r="H1161">
        <v>13</v>
      </c>
      <c r="I1161">
        <v>4433</v>
      </c>
      <c r="J1161">
        <v>481</v>
      </c>
      <c r="K1161">
        <v>113</v>
      </c>
      <c r="L1161">
        <v>88</v>
      </c>
      <c r="M1161">
        <v>1.15384615384615</v>
      </c>
      <c r="N1161" t="s">
        <v>23</v>
      </c>
      <c r="O1161">
        <v>0</v>
      </c>
    </row>
    <row r="1162" spans="1:15" x14ac:dyDescent="0.35">
      <c r="A1162">
        <v>1161</v>
      </c>
      <c r="B1162" t="s">
        <v>22</v>
      </c>
      <c r="C1162" t="s">
        <v>19</v>
      </c>
      <c r="D1162" s="1">
        <v>45394</v>
      </c>
      <c r="E1162" t="s">
        <v>30</v>
      </c>
      <c r="F1162">
        <v>21</v>
      </c>
      <c r="G1162">
        <v>128</v>
      </c>
      <c r="H1162">
        <v>15</v>
      </c>
      <c r="I1162">
        <v>3339</v>
      </c>
      <c r="J1162">
        <v>341</v>
      </c>
      <c r="K1162">
        <v>68</v>
      </c>
      <c r="L1162">
        <v>325</v>
      </c>
      <c r="M1162">
        <v>1.2198262952979899</v>
      </c>
      <c r="N1162" t="s">
        <v>23</v>
      </c>
      <c r="O1162">
        <v>0</v>
      </c>
    </row>
    <row r="1163" spans="1:15" x14ac:dyDescent="0.35">
      <c r="A1163">
        <v>1162</v>
      </c>
      <c r="B1163" t="s">
        <v>15</v>
      </c>
      <c r="C1163" t="s">
        <v>24</v>
      </c>
      <c r="D1163" s="1">
        <v>45350</v>
      </c>
      <c r="E1163" t="s">
        <v>25</v>
      </c>
      <c r="F1163">
        <v>10</v>
      </c>
      <c r="G1163">
        <v>129</v>
      </c>
      <c r="H1163">
        <v>10</v>
      </c>
      <c r="I1163">
        <v>2330</v>
      </c>
      <c r="J1163">
        <v>470</v>
      </c>
      <c r="K1163">
        <v>41</v>
      </c>
      <c r="L1163">
        <v>559</v>
      </c>
      <c r="M1163">
        <v>1.4592274678111501</v>
      </c>
      <c r="N1163" t="s">
        <v>23</v>
      </c>
      <c r="O1163">
        <v>0</v>
      </c>
    </row>
    <row r="1164" spans="1:15" x14ac:dyDescent="0.35">
      <c r="A1164">
        <v>1163</v>
      </c>
      <c r="B1164" t="s">
        <v>22</v>
      </c>
      <c r="C1164" t="s">
        <v>24</v>
      </c>
      <c r="D1164" s="1">
        <v>45582</v>
      </c>
      <c r="E1164" t="s">
        <v>27</v>
      </c>
      <c r="F1164">
        <v>21</v>
      </c>
      <c r="G1164">
        <v>129</v>
      </c>
      <c r="H1164">
        <v>1</v>
      </c>
      <c r="I1164">
        <v>306</v>
      </c>
      <c r="J1164">
        <v>620</v>
      </c>
      <c r="K1164">
        <v>391</v>
      </c>
      <c r="L1164">
        <v>64</v>
      </c>
      <c r="M1164">
        <v>4.5130718954248303</v>
      </c>
      <c r="N1164" t="s">
        <v>18</v>
      </c>
      <c r="O1164">
        <v>0</v>
      </c>
    </row>
    <row r="1165" spans="1:15" x14ac:dyDescent="0.35">
      <c r="A1165">
        <v>1164</v>
      </c>
      <c r="B1165" t="s">
        <v>22</v>
      </c>
      <c r="C1165" t="s">
        <v>19</v>
      </c>
      <c r="D1165" s="1">
        <v>45400</v>
      </c>
      <c r="E1165" t="s">
        <v>27</v>
      </c>
      <c r="F1165">
        <v>11</v>
      </c>
      <c r="G1165">
        <v>62</v>
      </c>
      <c r="H1165">
        <v>4</v>
      </c>
      <c r="I1165">
        <v>237</v>
      </c>
      <c r="J1165">
        <v>781</v>
      </c>
      <c r="K1165">
        <v>435</v>
      </c>
      <c r="L1165">
        <v>277</v>
      </c>
      <c r="M1165">
        <v>7.2995780590717301</v>
      </c>
      <c r="N1165" t="s">
        <v>18</v>
      </c>
      <c r="O1165">
        <v>0</v>
      </c>
    </row>
    <row r="1166" spans="1:15" x14ac:dyDescent="0.35">
      <c r="A1166">
        <v>1165</v>
      </c>
      <c r="B1166" t="s">
        <v>26</v>
      </c>
      <c r="C1166" t="s">
        <v>24</v>
      </c>
      <c r="D1166" s="1">
        <v>45327</v>
      </c>
      <c r="E1166" t="s">
        <v>29</v>
      </c>
      <c r="F1166">
        <v>19</v>
      </c>
      <c r="G1166">
        <v>288</v>
      </c>
      <c r="H1166">
        <v>6</v>
      </c>
      <c r="I1166">
        <v>2293</v>
      </c>
      <c r="J1166">
        <v>419</v>
      </c>
      <c r="K1166">
        <v>85</v>
      </c>
      <c r="L1166">
        <v>306</v>
      </c>
      <c r="M1166">
        <v>1.35324901875272</v>
      </c>
      <c r="N1166" t="s">
        <v>23</v>
      </c>
      <c r="O1166">
        <v>0</v>
      </c>
    </row>
    <row r="1167" spans="1:15" x14ac:dyDescent="0.35">
      <c r="A1167">
        <v>1166</v>
      </c>
      <c r="B1167" t="s">
        <v>22</v>
      </c>
      <c r="C1167" t="s">
        <v>24</v>
      </c>
      <c r="D1167" s="1">
        <v>45424</v>
      </c>
      <c r="E1167" t="s">
        <v>20</v>
      </c>
      <c r="F1167">
        <v>11</v>
      </c>
      <c r="G1167">
        <v>121</v>
      </c>
      <c r="H1167">
        <v>11</v>
      </c>
      <c r="I1167">
        <v>1557</v>
      </c>
      <c r="J1167">
        <v>60</v>
      </c>
      <c r="K1167">
        <v>96</v>
      </c>
      <c r="L1167">
        <v>439</v>
      </c>
      <c r="M1167">
        <v>1.3821451509312701</v>
      </c>
      <c r="N1167" t="s">
        <v>23</v>
      </c>
      <c r="O1167">
        <v>0</v>
      </c>
    </row>
    <row r="1168" spans="1:15" x14ac:dyDescent="0.35">
      <c r="A1168">
        <v>1167</v>
      </c>
      <c r="B1168" t="s">
        <v>26</v>
      </c>
      <c r="C1168" t="s">
        <v>24</v>
      </c>
      <c r="D1168" s="1">
        <v>45506</v>
      </c>
      <c r="E1168" t="s">
        <v>30</v>
      </c>
      <c r="F1168">
        <v>17</v>
      </c>
      <c r="G1168">
        <v>219</v>
      </c>
      <c r="H1168">
        <v>0</v>
      </c>
      <c r="I1168">
        <v>3995</v>
      </c>
      <c r="J1168">
        <v>491</v>
      </c>
      <c r="K1168">
        <v>550</v>
      </c>
      <c r="L1168">
        <v>165</v>
      </c>
      <c r="M1168">
        <v>1.30187734668335</v>
      </c>
      <c r="N1168" t="s">
        <v>23</v>
      </c>
      <c r="O1168">
        <v>0</v>
      </c>
    </row>
    <row r="1169" spans="1:15" x14ac:dyDescent="0.35">
      <c r="A1169">
        <v>1168</v>
      </c>
      <c r="B1169" t="s">
        <v>26</v>
      </c>
      <c r="C1169" t="s">
        <v>19</v>
      </c>
      <c r="D1169" s="1">
        <v>45579</v>
      </c>
      <c r="E1169" t="s">
        <v>29</v>
      </c>
      <c r="F1169">
        <v>10</v>
      </c>
      <c r="G1169">
        <v>185</v>
      </c>
      <c r="H1169">
        <v>10</v>
      </c>
      <c r="I1169">
        <v>4941</v>
      </c>
      <c r="J1169">
        <v>208</v>
      </c>
      <c r="K1169">
        <v>81</v>
      </c>
      <c r="L1169">
        <v>684</v>
      </c>
      <c r="M1169">
        <v>1.19692369965594</v>
      </c>
      <c r="N1169" t="s">
        <v>23</v>
      </c>
      <c r="O1169">
        <v>0</v>
      </c>
    </row>
    <row r="1170" spans="1:15" x14ac:dyDescent="0.35">
      <c r="A1170">
        <v>1169</v>
      </c>
      <c r="B1170" t="s">
        <v>22</v>
      </c>
      <c r="C1170" t="s">
        <v>16</v>
      </c>
      <c r="D1170" s="1">
        <v>45299</v>
      </c>
      <c r="E1170" t="s">
        <v>29</v>
      </c>
      <c r="F1170">
        <v>19</v>
      </c>
      <c r="G1170">
        <v>154</v>
      </c>
      <c r="H1170">
        <v>16</v>
      </c>
      <c r="I1170">
        <v>1282</v>
      </c>
      <c r="J1170">
        <v>474</v>
      </c>
      <c r="K1170">
        <v>153</v>
      </c>
      <c r="L1170">
        <v>512</v>
      </c>
      <c r="M1170">
        <v>1.88845553822152</v>
      </c>
      <c r="N1170" t="s">
        <v>21</v>
      </c>
      <c r="O1170">
        <v>0</v>
      </c>
    </row>
    <row r="1171" spans="1:15" x14ac:dyDescent="0.35">
      <c r="A1171">
        <v>1170</v>
      </c>
      <c r="B1171" t="s">
        <v>26</v>
      </c>
      <c r="C1171" t="s">
        <v>16</v>
      </c>
      <c r="D1171" s="1">
        <v>45293</v>
      </c>
      <c r="E1171" t="s">
        <v>17</v>
      </c>
      <c r="F1171">
        <v>7</v>
      </c>
      <c r="G1171">
        <v>131</v>
      </c>
      <c r="H1171">
        <v>6</v>
      </c>
      <c r="I1171">
        <v>3740</v>
      </c>
      <c r="J1171">
        <v>133</v>
      </c>
      <c r="K1171">
        <v>462</v>
      </c>
      <c r="L1171">
        <v>655</v>
      </c>
      <c r="M1171">
        <v>1.33422459893048</v>
      </c>
      <c r="N1171" t="s">
        <v>23</v>
      </c>
      <c r="O1171">
        <v>0</v>
      </c>
    </row>
    <row r="1172" spans="1:15" x14ac:dyDescent="0.35">
      <c r="A1172">
        <v>1171</v>
      </c>
      <c r="B1172" t="s">
        <v>22</v>
      </c>
      <c r="C1172" t="s">
        <v>16</v>
      </c>
      <c r="D1172" s="1">
        <v>45507</v>
      </c>
      <c r="E1172" t="s">
        <v>28</v>
      </c>
      <c r="F1172">
        <v>17</v>
      </c>
      <c r="G1172">
        <v>127</v>
      </c>
      <c r="H1172">
        <v>6</v>
      </c>
      <c r="I1172">
        <v>4523</v>
      </c>
      <c r="J1172">
        <v>797</v>
      </c>
      <c r="K1172">
        <v>172</v>
      </c>
      <c r="L1172">
        <v>616</v>
      </c>
      <c r="M1172">
        <v>1.35043112978111</v>
      </c>
      <c r="N1172" t="s">
        <v>23</v>
      </c>
      <c r="O1172">
        <v>0</v>
      </c>
    </row>
    <row r="1173" spans="1:15" x14ac:dyDescent="0.35">
      <c r="A1173">
        <v>1172</v>
      </c>
      <c r="B1173" t="s">
        <v>22</v>
      </c>
      <c r="C1173" t="s">
        <v>24</v>
      </c>
      <c r="D1173" s="1">
        <v>45587</v>
      </c>
      <c r="E1173" t="s">
        <v>17</v>
      </c>
      <c r="F1173">
        <v>22</v>
      </c>
      <c r="G1173">
        <v>83</v>
      </c>
      <c r="H1173">
        <v>15</v>
      </c>
      <c r="I1173">
        <v>167</v>
      </c>
      <c r="J1173">
        <v>384</v>
      </c>
      <c r="K1173">
        <v>374</v>
      </c>
      <c r="L1173">
        <v>17</v>
      </c>
      <c r="M1173">
        <v>5.64071856287425</v>
      </c>
      <c r="N1173" t="s">
        <v>18</v>
      </c>
      <c r="O1173">
        <v>0</v>
      </c>
    </row>
    <row r="1174" spans="1:15" x14ac:dyDescent="0.35">
      <c r="A1174">
        <v>1173</v>
      </c>
      <c r="B1174" t="s">
        <v>26</v>
      </c>
      <c r="C1174" t="s">
        <v>24</v>
      </c>
      <c r="D1174" s="1">
        <v>45525</v>
      </c>
      <c r="E1174" t="s">
        <v>25</v>
      </c>
      <c r="F1174">
        <v>22</v>
      </c>
      <c r="G1174">
        <v>191</v>
      </c>
      <c r="H1174">
        <v>3</v>
      </c>
      <c r="I1174">
        <v>3441</v>
      </c>
      <c r="J1174">
        <v>425</v>
      </c>
      <c r="K1174">
        <v>362</v>
      </c>
      <c r="L1174">
        <v>361</v>
      </c>
      <c r="M1174">
        <v>1.33362394652717</v>
      </c>
      <c r="N1174" t="s">
        <v>23</v>
      </c>
      <c r="O1174">
        <v>0</v>
      </c>
    </row>
    <row r="1175" spans="1:15" x14ac:dyDescent="0.35">
      <c r="A1175">
        <v>1174</v>
      </c>
      <c r="B1175" t="s">
        <v>26</v>
      </c>
      <c r="C1175" t="s">
        <v>19</v>
      </c>
      <c r="D1175" s="1">
        <v>45382</v>
      </c>
      <c r="E1175" t="s">
        <v>20</v>
      </c>
      <c r="F1175">
        <v>11</v>
      </c>
      <c r="G1175">
        <v>297</v>
      </c>
      <c r="H1175">
        <v>13</v>
      </c>
      <c r="I1175">
        <v>3808</v>
      </c>
      <c r="J1175">
        <v>443</v>
      </c>
      <c r="K1175">
        <v>384</v>
      </c>
      <c r="L1175">
        <v>182</v>
      </c>
      <c r="M1175">
        <v>1.26496848739495</v>
      </c>
      <c r="N1175" t="s">
        <v>23</v>
      </c>
      <c r="O1175">
        <v>0</v>
      </c>
    </row>
    <row r="1176" spans="1:15" x14ac:dyDescent="0.35">
      <c r="A1176">
        <v>1175</v>
      </c>
      <c r="B1176" t="s">
        <v>22</v>
      </c>
      <c r="C1176" t="s">
        <v>19</v>
      </c>
      <c r="D1176" s="1">
        <v>45487</v>
      </c>
      <c r="E1176" t="s">
        <v>20</v>
      </c>
      <c r="F1176">
        <v>9</v>
      </c>
      <c r="G1176">
        <v>64</v>
      </c>
      <c r="H1176">
        <v>3</v>
      </c>
      <c r="I1176">
        <v>2384</v>
      </c>
      <c r="J1176">
        <v>680</v>
      </c>
      <c r="K1176">
        <v>449</v>
      </c>
      <c r="L1176">
        <v>650</v>
      </c>
      <c r="M1176">
        <v>1.74622483221476</v>
      </c>
      <c r="N1176" t="s">
        <v>21</v>
      </c>
      <c r="O1176">
        <v>0</v>
      </c>
    </row>
    <row r="1177" spans="1:15" x14ac:dyDescent="0.35">
      <c r="A1177">
        <v>1176</v>
      </c>
      <c r="B1177" t="s">
        <v>22</v>
      </c>
      <c r="C1177" t="s">
        <v>19</v>
      </c>
      <c r="D1177" s="1">
        <v>45337</v>
      </c>
      <c r="E1177" t="s">
        <v>27</v>
      </c>
      <c r="F1177">
        <v>23</v>
      </c>
      <c r="G1177">
        <v>71</v>
      </c>
      <c r="H1177">
        <v>20</v>
      </c>
      <c r="I1177">
        <v>184</v>
      </c>
      <c r="J1177">
        <v>636</v>
      </c>
      <c r="K1177">
        <v>423</v>
      </c>
      <c r="L1177">
        <v>107</v>
      </c>
      <c r="M1177">
        <v>7.3369565217391299</v>
      </c>
      <c r="N1177" t="s">
        <v>18</v>
      </c>
      <c r="O1177">
        <v>0</v>
      </c>
    </row>
    <row r="1178" spans="1:15" x14ac:dyDescent="0.35">
      <c r="A1178">
        <v>1177</v>
      </c>
      <c r="B1178" t="s">
        <v>22</v>
      </c>
      <c r="C1178" t="s">
        <v>24</v>
      </c>
      <c r="D1178" s="1">
        <v>45519</v>
      </c>
      <c r="E1178" t="s">
        <v>27</v>
      </c>
      <c r="F1178">
        <v>12</v>
      </c>
      <c r="G1178">
        <v>134</v>
      </c>
      <c r="H1178">
        <v>14</v>
      </c>
      <c r="I1178">
        <v>4173</v>
      </c>
      <c r="J1178">
        <v>600</v>
      </c>
      <c r="K1178">
        <v>35</v>
      </c>
      <c r="L1178">
        <v>684</v>
      </c>
      <c r="M1178">
        <v>1.3160795590702099</v>
      </c>
      <c r="N1178" t="s">
        <v>23</v>
      </c>
      <c r="O1178">
        <v>0</v>
      </c>
    </row>
    <row r="1179" spans="1:15" x14ac:dyDescent="0.35">
      <c r="A1179">
        <v>1178</v>
      </c>
      <c r="B1179" t="s">
        <v>15</v>
      </c>
      <c r="C1179" t="s">
        <v>24</v>
      </c>
      <c r="D1179" s="1">
        <v>45574</v>
      </c>
      <c r="E1179" t="s">
        <v>25</v>
      </c>
      <c r="F1179">
        <v>20</v>
      </c>
      <c r="G1179">
        <v>231</v>
      </c>
      <c r="H1179">
        <v>20</v>
      </c>
      <c r="I1179">
        <v>3171</v>
      </c>
      <c r="J1179">
        <v>122</v>
      </c>
      <c r="K1179">
        <v>202</v>
      </c>
      <c r="L1179">
        <v>481</v>
      </c>
      <c r="M1179">
        <v>1.2538631346578299</v>
      </c>
      <c r="N1179" t="s">
        <v>23</v>
      </c>
      <c r="O1179">
        <v>0</v>
      </c>
    </row>
    <row r="1180" spans="1:15" x14ac:dyDescent="0.35">
      <c r="A1180">
        <v>1179</v>
      </c>
      <c r="B1180" t="s">
        <v>22</v>
      </c>
      <c r="C1180" t="s">
        <v>24</v>
      </c>
      <c r="D1180" s="1">
        <v>45494</v>
      </c>
      <c r="E1180" t="s">
        <v>20</v>
      </c>
      <c r="F1180">
        <v>14</v>
      </c>
      <c r="G1180">
        <v>177</v>
      </c>
      <c r="H1180">
        <v>13</v>
      </c>
      <c r="I1180">
        <v>112</v>
      </c>
      <c r="J1180">
        <v>388</v>
      </c>
      <c r="K1180">
        <v>231</v>
      </c>
      <c r="L1180">
        <v>520</v>
      </c>
      <c r="M1180">
        <v>11.169642857142801</v>
      </c>
      <c r="N1180" t="s">
        <v>18</v>
      </c>
      <c r="O1180">
        <v>0</v>
      </c>
    </row>
    <row r="1181" spans="1:15" x14ac:dyDescent="0.35">
      <c r="A1181">
        <v>1180</v>
      </c>
      <c r="B1181" t="s">
        <v>15</v>
      </c>
      <c r="C1181" t="s">
        <v>16</v>
      </c>
      <c r="D1181" s="1">
        <v>45415</v>
      </c>
      <c r="E1181" t="s">
        <v>30</v>
      </c>
      <c r="F1181">
        <v>17</v>
      </c>
      <c r="G1181">
        <v>285</v>
      </c>
      <c r="H1181">
        <v>19</v>
      </c>
      <c r="I1181">
        <v>84</v>
      </c>
      <c r="J1181">
        <v>429</v>
      </c>
      <c r="K1181">
        <v>35</v>
      </c>
      <c r="L1181">
        <v>16</v>
      </c>
      <c r="M1181">
        <v>6.71428571428571</v>
      </c>
      <c r="N1181" t="s">
        <v>18</v>
      </c>
      <c r="O1181">
        <v>0</v>
      </c>
    </row>
    <row r="1182" spans="1:15" x14ac:dyDescent="0.35">
      <c r="A1182">
        <v>1181</v>
      </c>
      <c r="B1182" t="s">
        <v>15</v>
      </c>
      <c r="C1182" t="s">
        <v>19</v>
      </c>
      <c r="D1182" s="1">
        <v>45454</v>
      </c>
      <c r="E1182" t="s">
        <v>17</v>
      </c>
      <c r="F1182">
        <v>18</v>
      </c>
      <c r="G1182">
        <v>118</v>
      </c>
      <c r="H1182">
        <v>19</v>
      </c>
      <c r="I1182">
        <v>2795</v>
      </c>
      <c r="J1182">
        <v>179</v>
      </c>
      <c r="K1182">
        <v>587</v>
      </c>
      <c r="L1182">
        <v>441</v>
      </c>
      <c r="M1182">
        <v>1.43184257602862</v>
      </c>
      <c r="N1182" t="s">
        <v>23</v>
      </c>
      <c r="O1182">
        <v>0</v>
      </c>
    </row>
    <row r="1183" spans="1:15" x14ac:dyDescent="0.35">
      <c r="A1183">
        <v>1182</v>
      </c>
      <c r="B1183" t="s">
        <v>26</v>
      </c>
      <c r="C1183" t="s">
        <v>24</v>
      </c>
      <c r="D1183" s="1">
        <v>45493</v>
      </c>
      <c r="E1183" t="s">
        <v>28</v>
      </c>
      <c r="F1183">
        <v>11</v>
      </c>
      <c r="G1183">
        <v>226</v>
      </c>
      <c r="H1183">
        <v>10</v>
      </c>
      <c r="I1183">
        <v>472</v>
      </c>
      <c r="J1183">
        <v>596</v>
      </c>
      <c r="K1183">
        <v>441</v>
      </c>
      <c r="L1183">
        <v>132</v>
      </c>
      <c r="M1183">
        <v>3.4766949152542299</v>
      </c>
      <c r="N1183" t="s">
        <v>18</v>
      </c>
      <c r="O1183">
        <v>0</v>
      </c>
    </row>
    <row r="1184" spans="1:15" x14ac:dyDescent="0.35">
      <c r="A1184">
        <v>1183</v>
      </c>
      <c r="B1184" t="s">
        <v>26</v>
      </c>
      <c r="C1184" t="s">
        <v>16</v>
      </c>
      <c r="D1184" s="1">
        <v>45556</v>
      </c>
      <c r="E1184" t="s">
        <v>28</v>
      </c>
      <c r="F1184">
        <v>22</v>
      </c>
      <c r="G1184">
        <v>80</v>
      </c>
      <c r="H1184">
        <v>20</v>
      </c>
      <c r="I1184">
        <v>1347</v>
      </c>
      <c r="J1184">
        <v>452</v>
      </c>
      <c r="K1184">
        <v>238</v>
      </c>
      <c r="L1184">
        <v>102</v>
      </c>
      <c r="M1184">
        <v>1.58797327394209</v>
      </c>
      <c r="N1184" t="s">
        <v>23</v>
      </c>
      <c r="O1184">
        <v>0</v>
      </c>
    </row>
    <row r="1185" spans="1:15" x14ac:dyDescent="0.35">
      <c r="A1185">
        <v>1184</v>
      </c>
      <c r="B1185" t="s">
        <v>15</v>
      </c>
      <c r="C1185" t="s">
        <v>24</v>
      </c>
      <c r="D1185" s="1">
        <v>45587</v>
      </c>
      <c r="E1185" t="s">
        <v>17</v>
      </c>
      <c r="F1185">
        <v>12</v>
      </c>
      <c r="G1185">
        <v>67</v>
      </c>
      <c r="H1185">
        <v>2</v>
      </c>
      <c r="I1185">
        <v>3261</v>
      </c>
      <c r="J1185">
        <v>785</v>
      </c>
      <c r="K1185">
        <v>268</v>
      </c>
      <c r="L1185">
        <v>567</v>
      </c>
      <c r="M1185">
        <v>1.4967801287948399</v>
      </c>
      <c r="N1185" t="s">
        <v>23</v>
      </c>
      <c r="O1185">
        <v>0</v>
      </c>
    </row>
    <row r="1186" spans="1:15" x14ac:dyDescent="0.35">
      <c r="A1186">
        <v>1185</v>
      </c>
      <c r="B1186" t="s">
        <v>26</v>
      </c>
      <c r="C1186" t="s">
        <v>19</v>
      </c>
      <c r="D1186" s="1">
        <v>45305</v>
      </c>
      <c r="E1186" t="s">
        <v>20</v>
      </c>
      <c r="F1186">
        <v>23</v>
      </c>
      <c r="G1186">
        <v>60</v>
      </c>
      <c r="H1186">
        <v>18</v>
      </c>
      <c r="I1186">
        <v>3633</v>
      </c>
      <c r="J1186">
        <v>16</v>
      </c>
      <c r="K1186">
        <v>158</v>
      </c>
      <c r="L1186">
        <v>29</v>
      </c>
      <c r="M1186">
        <v>1.0558766859344799</v>
      </c>
      <c r="N1186" t="s">
        <v>23</v>
      </c>
      <c r="O1186">
        <v>0</v>
      </c>
    </row>
    <row r="1187" spans="1:15" x14ac:dyDescent="0.35">
      <c r="A1187">
        <v>1186</v>
      </c>
      <c r="B1187" t="s">
        <v>26</v>
      </c>
      <c r="C1187" t="s">
        <v>19</v>
      </c>
      <c r="D1187" s="1">
        <v>45487</v>
      </c>
      <c r="E1187" t="s">
        <v>20</v>
      </c>
      <c r="F1187">
        <v>17</v>
      </c>
      <c r="G1187">
        <v>115</v>
      </c>
      <c r="H1187">
        <v>7</v>
      </c>
      <c r="I1187">
        <v>257</v>
      </c>
      <c r="J1187">
        <v>765</v>
      </c>
      <c r="K1187">
        <v>135</v>
      </c>
      <c r="L1187">
        <v>465</v>
      </c>
      <c r="M1187">
        <v>6.3112840466925997</v>
      </c>
      <c r="N1187" t="s">
        <v>18</v>
      </c>
      <c r="O1187">
        <v>0</v>
      </c>
    </row>
    <row r="1188" spans="1:15" x14ac:dyDescent="0.35">
      <c r="A1188">
        <v>1187</v>
      </c>
      <c r="B1188" t="s">
        <v>26</v>
      </c>
      <c r="C1188" t="s">
        <v>24</v>
      </c>
      <c r="D1188" s="1">
        <v>45405</v>
      </c>
      <c r="E1188" t="s">
        <v>17</v>
      </c>
      <c r="F1188">
        <v>14</v>
      </c>
      <c r="G1188">
        <v>46</v>
      </c>
      <c r="H1188">
        <v>8</v>
      </c>
      <c r="I1188">
        <v>2482</v>
      </c>
      <c r="J1188">
        <v>203</v>
      </c>
      <c r="K1188">
        <v>550</v>
      </c>
      <c r="L1188">
        <v>252</v>
      </c>
      <c r="M1188">
        <v>1.4049153908138601</v>
      </c>
      <c r="N1188" t="s">
        <v>23</v>
      </c>
      <c r="O1188">
        <v>0</v>
      </c>
    </row>
    <row r="1189" spans="1:15" x14ac:dyDescent="0.35">
      <c r="A1189">
        <v>1188</v>
      </c>
      <c r="B1189" t="s">
        <v>26</v>
      </c>
      <c r="C1189" t="s">
        <v>16</v>
      </c>
      <c r="D1189" s="1">
        <v>45334</v>
      </c>
      <c r="E1189" t="s">
        <v>29</v>
      </c>
      <c r="F1189">
        <v>9</v>
      </c>
      <c r="G1189">
        <v>255</v>
      </c>
      <c r="H1189">
        <v>19</v>
      </c>
      <c r="I1189">
        <v>1227</v>
      </c>
      <c r="J1189">
        <v>647</v>
      </c>
      <c r="K1189">
        <v>25</v>
      </c>
      <c r="L1189">
        <v>654</v>
      </c>
      <c r="M1189">
        <v>2.0806845965770102</v>
      </c>
      <c r="N1189" t="s">
        <v>21</v>
      </c>
      <c r="O1189">
        <v>0</v>
      </c>
    </row>
    <row r="1190" spans="1:15" x14ac:dyDescent="0.35">
      <c r="A1190">
        <v>1189</v>
      </c>
      <c r="B1190" t="s">
        <v>15</v>
      </c>
      <c r="C1190" t="s">
        <v>16</v>
      </c>
      <c r="D1190" s="1">
        <v>45354</v>
      </c>
      <c r="E1190" t="s">
        <v>20</v>
      </c>
      <c r="F1190">
        <v>8</v>
      </c>
      <c r="G1190">
        <v>273</v>
      </c>
      <c r="H1190">
        <v>11</v>
      </c>
      <c r="I1190">
        <v>927</v>
      </c>
      <c r="J1190">
        <v>150</v>
      </c>
      <c r="K1190">
        <v>291</v>
      </c>
      <c r="L1190">
        <v>269</v>
      </c>
      <c r="M1190">
        <v>1.76591154261057</v>
      </c>
      <c r="N1190" t="s">
        <v>21</v>
      </c>
      <c r="O1190">
        <v>0</v>
      </c>
    </row>
    <row r="1191" spans="1:15" x14ac:dyDescent="0.35">
      <c r="A1191">
        <v>1190</v>
      </c>
      <c r="B1191" t="s">
        <v>22</v>
      </c>
      <c r="C1191" t="s">
        <v>16</v>
      </c>
      <c r="D1191" s="1">
        <v>45398</v>
      </c>
      <c r="E1191" t="s">
        <v>17</v>
      </c>
      <c r="F1191">
        <v>21</v>
      </c>
      <c r="G1191">
        <v>59</v>
      </c>
      <c r="H1191">
        <v>6</v>
      </c>
      <c r="I1191">
        <v>3251</v>
      </c>
      <c r="J1191">
        <v>108</v>
      </c>
      <c r="K1191">
        <v>504</v>
      </c>
      <c r="L1191">
        <v>23</v>
      </c>
      <c r="M1191">
        <v>1.19532451553368</v>
      </c>
      <c r="N1191" t="s">
        <v>23</v>
      </c>
      <c r="O1191">
        <v>0</v>
      </c>
    </row>
    <row r="1192" spans="1:15" x14ac:dyDescent="0.35">
      <c r="A1192">
        <v>1191</v>
      </c>
      <c r="B1192" t="s">
        <v>15</v>
      </c>
      <c r="C1192" t="s">
        <v>24</v>
      </c>
      <c r="D1192" s="1">
        <v>45506</v>
      </c>
      <c r="E1192" t="s">
        <v>30</v>
      </c>
      <c r="F1192">
        <v>6</v>
      </c>
      <c r="G1192">
        <v>111</v>
      </c>
      <c r="H1192">
        <v>18</v>
      </c>
      <c r="I1192">
        <v>3124</v>
      </c>
      <c r="J1192">
        <v>326</v>
      </c>
      <c r="K1192">
        <v>463</v>
      </c>
      <c r="L1192">
        <v>165</v>
      </c>
      <c r="M1192">
        <v>1.3053777208706701</v>
      </c>
      <c r="N1192" t="s">
        <v>23</v>
      </c>
      <c r="O1192">
        <v>0</v>
      </c>
    </row>
    <row r="1193" spans="1:15" x14ac:dyDescent="0.35">
      <c r="A1193">
        <v>1192</v>
      </c>
      <c r="B1193" t="s">
        <v>26</v>
      </c>
      <c r="C1193" t="s">
        <v>19</v>
      </c>
      <c r="D1193" s="1">
        <v>45308</v>
      </c>
      <c r="E1193" t="s">
        <v>25</v>
      </c>
      <c r="F1193">
        <v>23</v>
      </c>
      <c r="G1193">
        <v>22</v>
      </c>
      <c r="H1193">
        <v>5</v>
      </c>
      <c r="I1193">
        <v>1010</v>
      </c>
      <c r="J1193">
        <v>356</v>
      </c>
      <c r="K1193">
        <v>357</v>
      </c>
      <c r="L1193">
        <v>496</v>
      </c>
      <c r="M1193">
        <v>2.1970297029702901</v>
      </c>
      <c r="N1193" t="s">
        <v>21</v>
      </c>
      <c r="O1193">
        <v>0</v>
      </c>
    </row>
    <row r="1194" spans="1:15" x14ac:dyDescent="0.35">
      <c r="A1194">
        <v>1193</v>
      </c>
      <c r="B1194" t="s">
        <v>15</v>
      </c>
      <c r="C1194" t="s">
        <v>19</v>
      </c>
      <c r="D1194" s="1">
        <v>45559</v>
      </c>
      <c r="E1194" t="s">
        <v>17</v>
      </c>
      <c r="F1194">
        <v>6</v>
      </c>
      <c r="G1194">
        <v>285</v>
      </c>
      <c r="H1194">
        <v>16</v>
      </c>
      <c r="I1194">
        <v>2134</v>
      </c>
      <c r="J1194">
        <v>129</v>
      </c>
      <c r="K1194">
        <v>199</v>
      </c>
      <c r="L1194">
        <v>621</v>
      </c>
      <c r="M1194">
        <v>1.4447047797563199</v>
      </c>
      <c r="N1194" t="s">
        <v>23</v>
      </c>
      <c r="O1194">
        <v>0</v>
      </c>
    </row>
    <row r="1195" spans="1:15" x14ac:dyDescent="0.35">
      <c r="A1195">
        <v>1194</v>
      </c>
      <c r="B1195" t="s">
        <v>15</v>
      </c>
      <c r="C1195" t="s">
        <v>24</v>
      </c>
      <c r="D1195" s="1">
        <v>45370</v>
      </c>
      <c r="E1195" t="s">
        <v>17</v>
      </c>
      <c r="F1195">
        <v>10</v>
      </c>
      <c r="G1195">
        <v>132</v>
      </c>
      <c r="H1195">
        <v>2</v>
      </c>
      <c r="I1195">
        <v>1821</v>
      </c>
      <c r="J1195">
        <v>378</v>
      </c>
      <c r="K1195">
        <v>119</v>
      </c>
      <c r="L1195">
        <v>223</v>
      </c>
      <c r="M1195">
        <v>1.39538714991762</v>
      </c>
      <c r="N1195" t="s">
        <v>23</v>
      </c>
      <c r="O1195">
        <v>0</v>
      </c>
    </row>
    <row r="1196" spans="1:15" x14ac:dyDescent="0.35">
      <c r="A1196">
        <v>1195</v>
      </c>
      <c r="B1196" t="s">
        <v>15</v>
      </c>
      <c r="C1196" t="s">
        <v>24</v>
      </c>
      <c r="D1196" s="1">
        <v>45356</v>
      </c>
      <c r="E1196" t="s">
        <v>17</v>
      </c>
      <c r="F1196">
        <v>23</v>
      </c>
      <c r="G1196">
        <v>170</v>
      </c>
      <c r="H1196">
        <v>14</v>
      </c>
      <c r="I1196">
        <v>2242</v>
      </c>
      <c r="J1196">
        <v>285</v>
      </c>
      <c r="K1196">
        <v>495</v>
      </c>
      <c r="L1196">
        <v>205</v>
      </c>
      <c r="M1196">
        <v>1.4393398751115001</v>
      </c>
      <c r="N1196" t="s">
        <v>23</v>
      </c>
      <c r="O1196">
        <v>0</v>
      </c>
    </row>
    <row r="1197" spans="1:15" x14ac:dyDescent="0.35">
      <c r="A1197">
        <v>1196</v>
      </c>
      <c r="B1197" t="s">
        <v>22</v>
      </c>
      <c r="C1197" t="s">
        <v>16</v>
      </c>
      <c r="D1197" s="1">
        <v>45545</v>
      </c>
      <c r="E1197" t="s">
        <v>17</v>
      </c>
      <c r="F1197">
        <v>12</v>
      </c>
      <c r="G1197">
        <v>163</v>
      </c>
      <c r="H1197">
        <v>12</v>
      </c>
      <c r="I1197">
        <v>3622</v>
      </c>
      <c r="J1197">
        <v>529</v>
      </c>
      <c r="K1197">
        <v>411</v>
      </c>
      <c r="L1197">
        <v>198</v>
      </c>
      <c r="M1197">
        <v>1.3141910546659299</v>
      </c>
      <c r="N1197" t="s">
        <v>23</v>
      </c>
      <c r="O1197">
        <v>0</v>
      </c>
    </row>
    <row r="1198" spans="1:15" x14ac:dyDescent="0.35">
      <c r="A1198">
        <v>1197</v>
      </c>
      <c r="B1198" t="s">
        <v>15</v>
      </c>
      <c r="C1198" t="s">
        <v>19</v>
      </c>
      <c r="D1198" s="1">
        <v>45344</v>
      </c>
      <c r="E1198" t="s">
        <v>27</v>
      </c>
      <c r="F1198">
        <v>21</v>
      </c>
      <c r="G1198">
        <v>241</v>
      </c>
      <c r="H1198">
        <v>14</v>
      </c>
      <c r="I1198">
        <v>4831</v>
      </c>
      <c r="J1198">
        <v>789</v>
      </c>
      <c r="K1198">
        <v>321</v>
      </c>
      <c r="L1198">
        <v>170</v>
      </c>
      <c r="M1198">
        <v>1.2649554957565701</v>
      </c>
      <c r="N1198" t="s">
        <v>23</v>
      </c>
      <c r="O1198">
        <v>0</v>
      </c>
    </row>
    <row r="1199" spans="1:15" x14ac:dyDescent="0.35">
      <c r="A1199">
        <v>1198</v>
      </c>
      <c r="B1199" t="s">
        <v>26</v>
      </c>
      <c r="C1199" t="s">
        <v>16</v>
      </c>
      <c r="D1199" s="1">
        <v>45508</v>
      </c>
      <c r="E1199" t="s">
        <v>20</v>
      </c>
      <c r="F1199">
        <v>18</v>
      </c>
      <c r="G1199">
        <v>239</v>
      </c>
      <c r="H1199">
        <v>6</v>
      </c>
      <c r="I1199">
        <v>4935</v>
      </c>
      <c r="J1199">
        <v>770</v>
      </c>
      <c r="K1199">
        <v>280</v>
      </c>
      <c r="L1199">
        <v>327</v>
      </c>
      <c r="M1199">
        <v>1.2790273556231</v>
      </c>
      <c r="N1199" t="s">
        <v>23</v>
      </c>
      <c r="O1199">
        <v>0</v>
      </c>
    </row>
    <row r="1200" spans="1:15" x14ac:dyDescent="0.35">
      <c r="A1200">
        <v>1199</v>
      </c>
      <c r="B1200" t="s">
        <v>15</v>
      </c>
      <c r="C1200" t="s">
        <v>16</v>
      </c>
      <c r="D1200" s="1">
        <v>45582</v>
      </c>
      <c r="E1200" t="s">
        <v>27</v>
      </c>
      <c r="F1200">
        <v>22</v>
      </c>
      <c r="G1200">
        <v>149</v>
      </c>
      <c r="H1200">
        <v>18</v>
      </c>
      <c r="I1200">
        <v>2941</v>
      </c>
      <c r="J1200">
        <v>387</v>
      </c>
      <c r="K1200">
        <v>67</v>
      </c>
      <c r="L1200">
        <v>461</v>
      </c>
      <c r="M1200">
        <v>1.3111186671200199</v>
      </c>
      <c r="N1200" t="s">
        <v>23</v>
      </c>
      <c r="O1200">
        <v>0</v>
      </c>
    </row>
    <row r="1201" spans="1:15" x14ac:dyDescent="0.35">
      <c r="A1201">
        <v>1200</v>
      </c>
      <c r="B1201" t="s">
        <v>22</v>
      </c>
      <c r="C1201" t="s">
        <v>16</v>
      </c>
      <c r="D1201" s="1">
        <v>45501</v>
      </c>
      <c r="E1201" t="s">
        <v>20</v>
      </c>
      <c r="F1201">
        <v>9</v>
      </c>
      <c r="G1201">
        <v>112</v>
      </c>
      <c r="H1201">
        <v>10</v>
      </c>
      <c r="I1201">
        <v>2454</v>
      </c>
      <c r="J1201">
        <v>623</v>
      </c>
      <c r="K1201">
        <v>545</v>
      </c>
      <c r="L1201">
        <v>361</v>
      </c>
      <c r="M1201">
        <v>1.6230643846780699</v>
      </c>
      <c r="N1201" t="s">
        <v>21</v>
      </c>
      <c r="O1201">
        <v>0</v>
      </c>
    </row>
    <row r="1202" spans="1:15" x14ac:dyDescent="0.35">
      <c r="A1202">
        <v>1201</v>
      </c>
      <c r="B1202" t="s">
        <v>15</v>
      </c>
      <c r="C1202" t="s">
        <v>19</v>
      </c>
      <c r="D1202" s="1">
        <v>45511</v>
      </c>
      <c r="E1202" t="s">
        <v>25</v>
      </c>
      <c r="F1202">
        <v>17</v>
      </c>
      <c r="G1202">
        <v>210</v>
      </c>
      <c r="H1202">
        <v>4</v>
      </c>
      <c r="I1202">
        <v>1573</v>
      </c>
      <c r="J1202">
        <v>371</v>
      </c>
      <c r="K1202">
        <v>253</v>
      </c>
      <c r="L1202">
        <v>75</v>
      </c>
      <c r="M1202">
        <v>1.44437380801017</v>
      </c>
      <c r="N1202" t="s">
        <v>23</v>
      </c>
      <c r="O1202">
        <v>0</v>
      </c>
    </row>
    <row r="1203" spans="1:15" x14ac:dyDescent="0.35">
      <c r="A1203">
        <v>1202</v>
      </c>
      <c r="B1203" t="s">
        <v>26</v>
      </c>
      <c r="C1203" t="s">
        <v>24</v>
      </c>
      <c r="D1203" s="1">
        <v>45452</v>
      </c>
      <c r="E1203" t="s">
        <v>20</v>
      </c>
      <c r="F1203">
        <v>12</v>
      </c>
      <c r="G1203">
        <v>258</v>
      </c>
      <c r="H1203">
        <v>18</v>
      </c>
      <c r="I1203">
        <v>1051</v>
      </c>
      <c r="J1203">
        <v>14</v>
      </c>
      <c r="K1203">
        <v>328</v>
      </c>
      <c r="L1203">
        <v>12</v>
      </c>
      <c r="M1203">
        <v>1.3368220742150301</v>
      </c>
      <c r="N1203" t="s">
        <v>23</v>
      </c>
      <c r="O1203">
        <v>0</v>
      </c>
    </row>
    <row r="1204" spans="1:15" x14ac:dyDescent="0.35">
      <c r="A1204">
        <v>1203</v>
      </c>
      <c r="B1204" t="s">
        <v>22</v>
      </c>
      <c r="C1204" t="s">
        <v>19</v>
      </c>
      <c r="D1204" s="1">
        <v>45456</v>
      </c>
      <c r="E1204" t="s">
        <v>27</v>
      </c>
      <c r="F1204">
        <v>12</v>
      </c>
      <c r="G1204">
        <v>289</v>
      </c>
      <c r="H1204">
        <v>6</v>
      </c>
      <c r="I1204">
        <v>1955</v>
      </c>
      <c r="J1204">
        <v>580</v>
      </c>
      <c r="K1204">
        <v>69</v>
      </c>
      <c r="L1204">
        <v>395</v>
      </c>
      <c r="M1204">
        <v>1.5340153452685401</v>
      </c>
      <c r="N1204" t="s">
        <v>23</v>
      </c>
      <c r="O1204">
        <v>0</v>
      </c>
    </row>
    <row r="1205" spans="1:15" x14ac:dyDescent="0.35">
      <c r="A1205">
        <v>1204</v>
      </c>
      <c r="B1205" t="s">
        <v>26</v>
      </c>
      <c r="C1205" t="s">
        <v>24</v>
      </c>
      <c r="D1205" s="1">
        <v>45344</v>
      </c>
      <c r="E1205" t="s">
        <v>27</v>
      </c>
      <c r="F1205">
        <v>19</v>
      </c>
      <c r="G1205">
        <v>182</v>
      </c>
      <c r="H1205">
        <v>10</v>
      </c>
      <c r="I1205">
        <v>4645</v>
      </c>
      <c r="J1205">
        <v>289</v>
      </c>
      <c r="K1205">
        <v>78</v>
      </c>
      <c r="L1205">
        <v>588</v>
      </c>
      <c r="M1205">
        <v>1.2055974165769601</v>
      </c>
      <c r="N1205" t="s">
        <v>23</v>
      </c>
      <c r="O1205">
        <v>0</v>
      </c>
    </row>
    <row r="1206" spans="1:15" x14ac:dyDescent="0.35">
      <c r="A1206">
        <v>1205</v>
      </c>
      <c r="B1206" t="s">
        <v>15</v>
      </c>
      <c r="C1206" t="s">
        <v>24</v>
      </c>
      <c r="D1206" s="1">
        <v>45393</v>
      </c>
      <c r="E1206" t="s">
        <v>27</v>
      </c>
      <c r="F1206">
        <v>19</v>
      </c>
      <c r="G1206">
        <v>81</v>
      </c>
      <c r="H1206">
        <v>3</v>
      </c>
      <c r="I1206">
        <v>1664</v>
      </c>
      <c r="J1206">
        <v>55</v>
      </c>
      <c r="K1206">
        <v>507</v>
      </c>
      <c r="L1206">
        <v>511</v>
      </c>
      <c r="M1206">
        <v>1.6448317307692299</v>
      </c>
      <c r="N1206" t="s">
        <v>21</v>
      </c>
      <c r="O1206">
        <v>0</v>
      </c>
    </row>
    <row r="1207" spans="1:15" x14ac:dyDescent="0.35">
      <c r="A1207">
        <v>1206</v>
      </c>
      <c r="B1207" t="s">
        <v>22</v>
      </c>
      <c r="C1207" t="s">
        <v>16</v>
      </c>
      <c r="D1207" s="1">
        <v>45523</v>
      </c>
      <c r="E1207" t="s">
        <v>29</v>
      </c>
      <c r="F1207">
        <v>6</v>
      </c>
      <c r="G1207">
        <v>165</v>
      </c>
      <c r="H1207">
        <v>0</v>
      </c>
      <c r="I1207">
        <v>1451</v>
      </c>
      <c r="J1207">
        <v>620</v>
      </c>
      <c r="K1207">
        <v>336</v>
      </c>
      <c r="L1207">
        <v>606</v>
      </c>
      <c r="M1207">
        <v>2.0764989662301798</v>
      </c>
      <c r="N1207" t="s">
        <v>21</v>
      </c>
      <c r="O1207">
        <v>0</v>
      </c>
    </row>
    <row r="1208" spans="1:15" x14ac:dyDescent="0.35">
      <c r="A1208">
        <v>1207</v>
      </c>
      <c r="B1208" t="s">
        <v>22</v>
      </c>
      <c r="C1208" t="s">
        <v>16</v>
      </c>
      <c r="D1208" s="1">
        <v>45586</v>
      </c>
      <c r="E1208" t="s">
        <v>29</v>
      </c>
      <c r="F1208">
        <v>23</v>
      </c>
      <c r="G1208">
        <v>290</v>
      </c>
      <c r="H1208">
        <v>1</v>
      </c>
      <c r="I1208">
        <v>88</v>
      </c>
      <c r="J1208">
        <v>477</v>
      </c>
      <c r="K1208">
        <v>293</v>
      </c>
      <c r="L1208">
        <v>135</v>
      </c>
      <c r="M1208">
        <v>11.284090909090899</v>
      </c>
      <c r="N1208" t="s">
        <v>18</v>
      </c>
      <c r="O1208">
        <v>0</v>
      </c>
    </row>
    <row r="1209" spans="1:15" x14ac:dyDescent="0.35">
      <c r="A1209">
        <v>1208</v>
      </c>
      <c r="B1209" t="s">
        <v>22</v>
      </c>
      <c r="C1209" t="s">
        <v>19</v>
      </c>
      <c r="D1209" s="1">
        <v>45464</v>
      </c>
      <c r="E1209" t="s">
        <v>30</v>
      </c>
      <c r="F1209">
        <v>15</v>
      </c>
      <c r="G1209">
        <v>160</v>
      </c>
      <c r="H1209">
        <v>10</v>
      </c>
      <c r="I1209">
        <v>183</v>
      </c>
      <c r="J1209">
        <v>76</v>
      </c>
      <c r="K1209">
        <v>483</v>
      </c>
      <c r="L1209">
        <v>98</v>
      </c>
      <c r="M1209">
        <v>4.5901639344262204</v>
      </c>
      <c r="N1209" t="s">
        <v>18</v>
      </c>
      <c r="O1209">
        <v>0</v>
      </c>
    </row>
    <row r="1210" spans="1:15" x14ac:dyDescent="0.35">
      <c r="A1210">
        <v>1209</v>
      </c>
      <c r="B1210" t="s">
        <v>22</v>
      </c>
      <c r="C1210" t="s">
        <v>19</v>
      </c>
      <c r="D1210" s="1">
        <v>45469</v>
      </c>
      <c r="E1210" t="s">
        <v>25</v>
      </c>
      <c r="F1210">
        <v>7</v>
      </c>
      <c r="G1210">
        <v>221</v>
      </c>
      <c r="H1210">
        <v>9</v>
      </c>
      <c r="I1210">
        <v>3329</v>
      </c>
      <c r="J1210">
        <v>86</v>
      </c>
      <c r="K1210">
        <v>571</v>
      </c>
      <c r="L1210">
        <v>321</v>
      </c>
      <c r="M1210">
        <v>1.2937819164914299</v>
      </c>
      <c r="N1210" t="s">
        <v>23</v>
      </c>
      <c r="O1210">
        <v>0</v>
      </c>
    </row>
    <row r="1211" spans="1:15" x14ac:dyDescent="0.35">
      <c r="A1211">
        <v>1210</v>
      </c>
      <c r="B1211" t="s">
        <v>26</v>
      </c>
      <c r="C1211" t="s">
        <v>16</v>
      </c>
      <c r="D1211" s="1">
        <v>45524</v>
      </c>
      <c r="E1211" t="s">
        <v>17</v>
      </c>
      <c r="F1211">
        <v>6</v>
      </c>
      <c r="G1211">
        <v>134</v>
      </c>
      <c r="H1211">
        <v>1</v>
      </c>
      <c r="I1211">
        <v>4091</v>
      </c>
      <c r="J1211">
        <v>661</v>
      </c>
      <c r="K1211">
        <v>126</v>
      </c>
      <c r="L1211">
        <v>383</v>
      </c>
      <c r="M1211">
        <v>1.2859936445856699</v>
      </c>
      <c r="N1211" t="s">
        <v>23</v>
      </c>
      <c r="O1211">
        <v>0</v>
      </c>
    </row>
    <row r="1212" spans="1:15" x14ac:dyDescent="0.35">
      <c r="A1212">
        <v>1211</v>
      </c>
      <c r="B1212" t="s">
        <v>15</v>
      </c>
      <c r="C1212" t="s">
        <v>16</v>
      </c>
      <c r="D1212" s="1">
        <v>45297</v>
      </c>
      <c r="E1212" t="s">
        <v>28</v>
      </c>
      <c r="F1212">
        <v>8</v>
      </c>
      <c r="G1212">
        <v>117</v>
      </c>
      <c r="H1212">
        <v>11</v>
      </c>
      <c r="I1212">
        <v>1186</v>
      </c>
      <c r="J1212">
        <v>112</v>
      </c>
      <c r="K1212">
        <v>332</v>
      </c>
      <c r="L1212">
        <v>447</v>
      </c>
      <c r="M1212">
        <v>1.7512647554806</v>
      </c>
      <c r="N1212" t="s">
        <v>21</v>
      </c>
      <c r="O1212">
        <v>0</v>
      </c>
    </row>
    <row r="1213" spans="1:15" x14ac:dyDescent="0.35">
      <c r="A1213">
        <v>1212</v>
      </c>
      <c r="B1213" t="s">
        <v>15</v>
      </c>
      <c r="C1213" t="s">
        <v>16</v>
      </c>
      <c r="D1213" s="1">
        <v>45567</v>
      </c>
      <c r="E1213" t="s">
        <v>25</v>
      </c>
      <c r="F1213">
        <v>7</v>
      </c>
      <c r="G1213">
        <v>175</v>
      </c>
      <c r="H1213">
        <v>2</v>
      </c>
      <c r="I1213">
        <v>90</v>
      </c>
      <c r="J1213">
        <v>709</v>
      </c>
      <c r="K1213">
        <v>55</v>
      </c>
      <c r="L1213">
        <v>266</v>
      </c>
      <c r="M1213">
        <v>12.4444444444444</v>
      </c>
      <c r="N1213" t="s">
        <v>18</v>
      </c>
      <c r="O1213">
        <v>0</v>
      </c>
    </row>
    <row r="1214" spans="1:15" x14ac:dyDescent="0.35">
      <c r="A1214">
        <v>1213</v>
      </c>
      <c r="B1214" t="s">
        <v>26</v>
      </c>
      <c r="C1214" t="s">
        <v>16</v>
      </c>
      <c r="D1214" s="1">
        <v>45427</v>
      </c>
      <c r="E1214" t="s">
        <v>25</v>
      </c>
      <c r="F1214">
        <v>10</v>
      </c>
      <c r="G1214">
        <v>255</v>
      </c>
      <c r="H1214">
        <v>3</v>
      </c>
      <c r="I1214">
        <v>2747</v>
      </c>
      <c r="J1214">
        <v>709</v>
      </c>
      <c r="K1214">
        <v>390</v>
      </c>
      <c r="L1214">
        <v>277</v>
      </c>
      <c r="M1214">
        <v>1.5009100837277001</v>
      </c>
      <c r="N1214" t="s">
        <v>23</v>
      </c>
      <c r="O1214">
        <v>0</v>
      </c>
    </row>
    <row r="1215" spans="1:15" x14ac:dyDescent="0.35">
      <c r="A1215">
        <v>1214</v>
      </c>
      <c r="B1215" t="s">
        <v>26</v>
      </c>
      <c r="C1215" t="s">
        <v>24</v>
      </c>
      <c r="D1215" s="1">
        <v>45356</v>
      </c>
      <c r="E1215" t="s">
        <v>17</v>
      </c>
      <c r="F1215">
        <v>9</v>
      </c>
      <c r="G1215">
        <v>287</v>
      </c>
      <c r="H1215">
        <v>16</v>
      </c>
      <c r="I1215">
        <v>2665</v>
      </c>
      <c r="J1215">
        <v>156</v>
      </c>
      <c r="K1215">
        <v>600</v>
      </c>
      <c r="L1215">
        <v>424</v>
      </c>
      <c r="M1215">
        <v>1.4427767354596599</v>
      </c>
      <c r="N1215" t="s">
        <v>23</v>
      </c>
      <c r="O1215">
        <v>0</v>
      </c>
    </row>
    <row r="1216" spans="1:15" x14ac:dyDescent="0.35">
      <c r="A1216">
        <v>1215</v>
      </c>
      <c r="B1216" t="s">
        <v>22</v>
      </c>
      <c r="C1216" t="s">
        <v>19</v>
      </c>
      <c r="D1216" s="1">
        <v>45415</v>
      </c>
      <c r="E1216" t="s">
        <v>30</v>
      </c>
      <c r="F1216">
        <v>21</v>
      </c>
      <c r="G1216">
        <v>135</v>
      </c>
      <c r="H1216">
        <v>2</v>
      </c>
      <c r="I1216">
        <v>4784</v>
      </c>
      <c r="J1216">
        <v>494</v>
      </c>
      <c r="K1216">
        <v>503</v>
      </c>
      <c r="L1216">
        <v>288</v>
      </c>
      <c r="M1216">
        <v>1.2686036789297599</v>
      </c>
      <c r="N1216" t="s">
        <v>23</v>
      </c>
      <c r="O1216">
        <v>0</v>
      </c>
    </row>
    <row r="1217" spans="1:15" x14ac:dyDescent="0.35">
      <c r="A1217">
        <v>1216</v>
      </c>
      <c r="B1217" t="s">
        <v>26</v>
      </c>
      <c r="C1217" t="s">
        <v>16</v>
      </c>
      <c r="D1217" s="1">
        <v>45427</v>
      </c>
      <c r="E1217" t="s">
        <v>25</v>
      </c>
      <c r="F1217">
        <v>12</v>
      </c>
      <c r="G1217">
        <v>59</v>
      </c>
      <c r="H1217">
        <v>2</v>
      </c>
      <c r="I1217">
        <v>2476</v>
      </c>
      <c r="J1217">
        <v>733</v>
      </c>
      <c r="K1217">
        <v>86</v>
      </c>
      <c r="L1217">
        <v>362</v>
      </c>
      <c r="M1217">
        <v>1.4769789983844901</v>
      </c>
      <c r="N1217" t="s">
        <v>23</v>
      </c>
      <c r="O1217">
        <v>0</v>
      </c>
    </row>
    <row r="1218" spans="1:15" x14ac:dyDescent="0.35">
      <c r="A1218">
        <v>1217</v>
      </c>
      <c r="B1218" t="s">
        <v>15</v>
      </c>
      <c r="C1218" t="s">
        <v>24</v>
      </c>
      <c r="D1218" s="1">
        <v>45545</v>
      </c>
      <c r="E1218" t="s">
        <v>17</v>
      </c>
      <c r="F1218">
        <v>18</v>
      </c>
      <c r="G1218">
        <v>116</v>
      </c>
      <c r="H1218">
        <v>15</v>
      </c>
      <c r="I1218">
        <v>543</v>
      </c>
      <c r="J1218">
        <v>222</v>
      </c>
      <c r="K1218">
        <v>15</v>
      </c>
      <c r="L1218">
        <v>687</v>
      </c>
      <c r="M1218">
        <v>2.7016574585635298</v>
      </c>
      <c r="N1218" t="s">
        <v>18</v>
      </c>
      <c r="O1218">
        <v>0</v>
      </c>
    </row>
    <row r="1219" spans="1:15" x14ac:dyDescent="0.35">
      <c r="A1219">
        <v>1218</v>
      </c>
      <c r="B1219" t="s">
        <v>22</v>
      </c>
      <c r="C1219" t="s">
        <v>24</v>
      </c>
      <c r="D1219" s="1">
        <v>45345</v>
      </c>
      <c r="E1219" t="s">
        <v>30</v>
      </c>
      <c r="F1219">
        <v>20</v>
      </c>
      <c r="G1219">
        <v>98</v>
      </c>
      <c r="H1219">
        <v>16</v>
      </c>
      <c r="I1219">
        <v>2838</v>
      </c>
      <c r="J1219">
        <v>218</v>
      </c>
      <c r="K1219">
        <v>542</v>
      </c>
      <c r="L1219">
        <v>527</v>
      </c>
      <c r="M1219">
        <v>1.4534883720930201</v>
      </c>
      <c r="N1219" t="s">
        <v>23</v>
      </c>
      <c r="O1219">
        <v>0</v>
      </c>
    </row>
    <row r="1220" spans="1:15" x14ac:dyDescent="0.35">
      <c r="A1220">
        <v>1219</v>
      </c>
      <c r="B1220" t="s">
        <v>22</v>
      </c>
      <c r="C1220" t="s">
        <v>19</v>
      </c>
      <c r="D1220" s="1">
        <v>45346</v>
      </c>
      <c r="E1220" t="s">
        <v>28</v>
      </c>
      <c r="F1220">
        <v>22</v>
      </c>
      <c r="G1220">
        <v>123</v>
      </c>
      <c r="H1220">
        <v>12</v>
      </c>
      <c r="I1220">
        <v>1115</v>
      </c>
      <c r="J1220">
        <v>229</v>
      </c>
      <c r="K1220">
        <v>374</v>
      </c>
      <c r="L1220">
        <v>395</v>
      </c>
      <c r="M1220">
        <v>1.8950672645739901</v>
      </c>
      <c r="N1220" t="s">
        <v>21</v>
      </c>
      <c r="O1220">
        <v>0</v>
      </c>
    </row>
    <row r="1221" spans="1:15" x14ac:dyDescent="0.35">
      <c r="A1221">
        <v>1220</v>
      </c>
      <c r="B1221" t="s">
        <v>26</v>
      </c>
      <c r="C1221" t="s">
        <v>24</v>
      </c>
      <c r="D1221" s="1">
        <v>45388</v>
      </c>
      <c r="E1221" t="s">
        <v>28</v>
      </c>
      <c r="F1221">
        <v>9</v>
      </c>
      <c r="G1221">
        <v>95</v>
      </c>
      <c r="H1221">
        <v>14</v>
      </c>
      <c r="I1221">
        <v>612</v>
      </c>
      <c r="J1221">
        <v>289</v>
      </c>
      <c r="K1221">
        <v>435</v>
      </c>
      <c r="L1221">
        <v>169</v>
      </c>
      <c r="M1221">
        <v>2.45915032679738</v>
      </c>
      <c r="N1221" t="s">
        <v>18</v>
      </c>
      <c r="O1221">
        <v>0</v>
      </c>
    </row>
    <row r="1222" spans="1:15" x14ac:dyDescent="0.35">
      <c r="A1222">
        <v>1221</v>
      </c>
      <c r="B1222" t="s">
        <v>15</v>
      </c>
      <c r="C1222" t="s">
        <v>24</v>
      </c>
      <c r="D1222" s="1">
        <v>45346</v>
      </c>
      <c r="E1222" t="s">
        <v>28</v>
      </c>
      <c r="F1222">
        <v>6</v>
      </c>
      <c r="G1222">
        <v>263</v>
      </c>
      <c r="H1222">
        <v>16</v>
      </c>
      <c r="I1222">
        <v>952</v>
      </c>
      <c r="J1222">
        <v>251</v>
      </c>
      <c r="K1222">
        <v>18</v>
      </c>
      <c r="L1222">
        <v>472</v>
      </c>
      <c r="M1222">
        <v>1.7783613445378099</v>
      </c>
      <c r="N1222" t="s">
        <v>21</v>
      </c>
      <c r="O1222">
        <v>0</v>
      </c>
    </row>
    <row r="1223" spans="1:15" x14ac:dyDescent="0.35">
      <c r="A1223">
        <v>1222</v>
      </c>
      <c r="B1223" t="s">
        <v>15</v>
      </c>
      <c r="C1223" t="s">
        <v>24</v>
      </c>
      <c r="D1223" s="1">
        <v>45523</v>
      </c>
      <c r="E1223" t="s">
        <v>29</v>
      </c>
      <c r="F1223">
        <v>19</v>
      </c>
      <c r="G1223">
        <v>128</v>
      </c>
      <c r="H1223">
        <v>4</v>
      </c>
      <c r="I1223">
        <v>2933</v>
      </c>
      <c r="J1223">
        <v>276</v>
      </c>
      <c r="K1223">
        <v>123</v>
      </c>
      <c r="L1223">
        <v>564</v>
      </c>
      <c r="M1223">
        <v>1.3283327650869401</v>
      </c>
      <c r="N1223" t="s">
        <v>23</v>
      </c>
      <c r="O1223">
        <v>0</v>
      </c>
    </row>
    <row r="1224" spans="1:15" x14ac:dyDescent="0.35">
      <c r="A1224">
        <v>1223</v>
      </c>
      <c r="B1224" t="s">
        <v>15</v>
      </c>
      <c r="C1224" t="s">
        <v>24</v>
      </c>
      <c r="D1224" s="1">
        <v>45495</v>
      </c>
      <c r="E1224" t="s">
        <v>29</v>
      </c>
      <c r="F1224">
        <v>14</v>
      </c>
      <c r="G1224">
        <v>209</v>
      </c>
      <c r="H1224">
        <v>3</v>
      </c>
      <c r="I1224">
        <v>4163</v>
      </c>
      <c r="J1224">
        <v>446</v>
      </c>
      <c r="K1224">
        <v>522</v>
      </c>
      <c r="L1224">
        <v>342</v>
      </c>
      <c r="M1224">
        <v>1.3146769156858</v>
      </c>
      <c r="N1224" t="s">
        <v>23</v>
      </c>
      <c r="O1224">
        <v>0</v>
      </c>
    </row>
    <row r="1225" spans="1:15" x14ac:dyDescent="0.35">
      <c r="A1225">
        <v>1224</v>
      </c>
      <c r="B1225" t="s">
        <v>22</v>
      </c>
      <c r="C1225" t="s">
        <v>16</v>
      </c>
      <c r="D1225" s="1">
        <v>45317</v>
      </c>
      <c r="E1225" t="s">
        <v>30</v>
      </c>
      <c r="F1225">
        <v>18</v>
      </c>
      <c r="G1225">
        <v>110</v>
      </c>
      <c r="H1225">
        <v>19</v>
      </c>
      <c r="I1225">
        <v>3183</v>
      </c>
      <c r="J1225">
        <v>754</v>
      </c>
      <c r="K1225">
        <v>434</v>
      </c>
      <c r="L1225">
        <v>199</v>
      </c>
      <c r="M1225">
        <v>1.43575243480992</v>
      </c>
      <c r="N1225" t="s">
        <v>23</v>
      </c>
      <c r="O1225">
        <v>0</v>
      </c>
    </row>
    <row r="1226" spans="1:15" x14ac:dyDescent="0.35">
      <c r="A1226">
        <v>1225</v>
      </c>
      <c r="B1226" t="s">
        <v>22</v>
      </c>
      <c r="C1226" t="s">
        <v>16</v>
      </c>
      <c r="D1226" s="1">
        <v>45433</v>
      </c>
      <c r="E1226" t="s">
        <v>17</v>
      </c>
      <c r="F1226">
        <v>7</v>
      </c>
      <c r="G1226">
        <v>147</v>
      </c>
      <c r="H1226">
        <v>3</v>
      </c>
      <c r="I1226">
        <v>4388</v>
      </c>
      <c r="J1226">
        <v>627</v>
      </c>
      <c r="K1226">
        <v>507</v>
      </c>
      <c r="L1226">
        <v>532</v>
      </c>
      <c r="M1226">
        <v>1.37967183226982</v>
      </c>
      <c r="N1226" t="s">
        <v>23</v>
      </c>
      <c r="O1226">
        <v>0</v>
      </c>
    </row>
    <row r="1227" spans="1:15" x14ac:dyDescent="0.35">
      <c r="A1227">
        <v>1226</v>
      </c>
      <c r="B1227" t="s">
        <v>22</v>
      </c>
      <c r="C1227" t="s">
        <v>16</v>
      </c>
      <c r="D1227" s="1">
        <v>45404</v>
      </c>
      <c r="E1227" t="s">
        <v>29</v>
      </c>
      <c r="F1227">
        <v>8</v>
      </c>
      <c r="G1227">
        <v>292</v>
      </c>
      <c r="H1227">
        <v>3</v>
      </c>
      <c r="I1227">
        <v>993</v>
      </c>
      <c r="J1227">
        <v>59</v>
      </c>
      <c r="K1227">
        <v>38</v>
      </c>
      <c r="L1227">
        <v>590</v>
      </c>
      <c r="M1227">
        <v>1.69184290030211</v>
      </c>
      <c r="N1227" t="s">
        <v>21</v>
      </c>
      <c r="O1227">
        <v>0</v>
      </c>
    </row>
    <row r="1228" spans="1:15" x14ac:dyDescent="0.35">
      <c r="A1228">
        <v>1227</v>
      </c>
      <c r="B1228" t="s">
        <v>22</v>
      </c>
      <c r="C1228" t="s">
        <v>16</v>
      </c>
      <c r="D1228" s="1">
        <v>45433</v>
      </c>
      <c r="E1228" t="s">
        <v>17</v>
      </c>
      <c r="F1228">
        <v>13</v>
      </c>
      <c r="G1228">
        <v>157</v>
      </c>
      <c r="H1228">
        <v>15</v>
      </c>
      <c r="I1228">
        <v>1905</v>
      </c>
      <c r="J1228">
        <v>640</v>
      </c>
      <c r="K1228">
        <v>416</v>
      </c>
      <c r="L1228">
        <v>402</v>
      </c>
      <c r="M1228">
        <v>1.7653543307086601</v>
      </c>
      <c r="N1228" t="s">
        <v>21</v>
      </c>
      <c r="O1228">
        <v>0</v>
      </c>
    </row>
    <row r="1229" spans="1:15" x14ac:dyDescent="0.35">
      <c r="A1229">
        <v>1228</v>
      </c>
      <c r="B1229" t="s">
        <v>22</v>
      </c>
      <c r="C1229" t="s">
        <v>19</v>
      </c>
      <c r="D1229" s="1">
        <v>45397</v>
      </c>
      <c r="E1229" t="s">
        <v>29</v>
      </c>
      <c r="F1229">
        <v>15</v>
      </c>
      <c r="G1229">
        <v>21</v>
      </c>
      <c r="H1229">
        <v>3</v>
      </c>
      <c r="I1229">
        <v>1451</v>
      </c>
      <c r="J1229">
        <v>213</v>
      </c>
      <c r="K1229">
        <v>357</v>
      </c>
      <c r="L1229">
        <v>653</v>
      </c>
      <c r="M1229">
        <v>1.8428669882839399</v>
      </c>
      <c r="N1229" t="s">
        <v>21</v>
      </c>
      <c r="O1229">
        <v>0</v>
      </c>
    </row>
    <row r="1230" spans="1:15" x14ac:dyDescent="0.35">
      <c r="A1230">
        <v>1229</v>
      </c>
      <c r="B1230" t="s">
        <v>26</v>
      </c>
      <c r="C1230" t="s">
        <v>16</v>
      </c>
      <c r="D1230" s="1">
        <v>45386</v>
      </c>
      <c r="E1230" t="s">
        <v>27</v>
      </c>
      <c r="F1230">
        <v>11</v>
      </c>
      <c r="G1230">
        <v>181</v>
      </c>
      <c r="H1230">
        <v>2</v>
      </c>
      <c r="I1230">
        <v>4172</v>
      </c>
      <c r="J1230">
        <v>722</v>
      </c>
      <c r="K1230">
        <v>490</v>
      </c>
      <c r="L1230">
        <v>313</v>
      </c>
      <c r="M1230">
        <v>1.36553211888782</v>
      </c>
      <c r="N1230" t="s">
        <v>23</v>
      </c>
      <c r="O1230">
        <v>0</v>
      </c>
    </row>
    <row r="1231" spans="1:15" x14ac:dyDescent="0.35">
      <c r="A1231">
        <v>1230</v>
      </c>
      <c r="B1231" t="s">
        <v>15</v>
      </c>
      <c r="C1231" t="s">
        <v>19</v>
      </c>
      <c r="D1231" s="1">
        <v>45377</v>
      </c>
      <c r="E1231" t="s">
        <v>17</v>
      </c>
      <c r="F1231">
        <v>21</v>
      </c>
      <c r="G1231">
        <v>239</v>
      </c>
      <c r="H1231">
        <v>10</v>
      </c>
      <c r="I1231">
        <v>1584</v>
      </c>
      <c r="J1231">
        <v>345</v>
      </c>
      <c r="K1231">
        <v>468</v>
      </c>
      <c r="L1231">
        <v>146</v>
      </c>
      <c r="M1231">
        <v>1.6054292929292899</v>
      </c>
      <c r="N1231" t="s">
        <v>23</v>
      </c>
      <c r="O1231">
        <v>0</v>
      </c>
    </row>
    <row r="1232" spans="1:15" x14ac:dyDescent="0.35">
      <c r="A1232">
        <v>1231</v>
      </c>
      <c r="B1232" t="s">
        <v>26</v>
      </c>
      <c r="C1232" t="s">
        <v>16</v>
      </c>
      <c r="D1232" s="1">
        <v>45302</v>
      </c>
      <c r="E1232" t="s">
        <v>27</v>
      </c>
      <c r="F1232">
        <v>17</v>
      </c>
      <c r="G1232">
        <v>262</v>
      </c>
      <c r="H1232">
        <v>18</v>
      </c>
      <c r="I1232">
        <v>1504</v>
      </c>
      <c r="J1232">
        <v>275</v>
      </c>
      <c r="K1232">
        <v>80</v>
      </c>
      <c r="L1232">
        <v>175</v>
      </c>
      <c r="M1232">
        <v>1.35239361702127</v>
      </c>
      <c r="N1232" t="s">
        <v>23</v>
      </c>
      <c r="O1232">
        <v>0</v>
      </c>
    </row>
    <row r="1233" spans="1:15" x14ac:dyDescent="0.35">
      <c r="A1233">
        <v>1232</v>
      </c>
      <c r="B1233" t="s">
        <v>15</v>
      </c>
      <c r="C1233" t="s">
        <v>16</v>
      </c>
      <c r="D1233" s="1">
        <v>45292</v>
      </c>
      <c r="E1233" t="s">
        <v>29</v>
      </c>
      <c r="F1233">
        <v>15</v>
      </c>
      <c r="G1233">
        <v>136</v>
      </c>
      <c r="H1233">
        <v>16</v>
      </c>
      <c r="I1233">
        <v>4050</v>
      </c>
      <c r="J1233">
        <v>258</v>
      </c>
      <c r="K1233">
        <v>485</v>
      </c>
      <c r="L1233">
        <v>113</v>
      </c>
      <c r="M1233">
        <v>1.21135802469135</v>
      </c>
      <c r="N1233" t="s">
        <v>23</v>
      </c>
      <c r="O1233">
        <v>0</v>
      </c>
    </row>
    <row r="1234" spans="1:15" x14ac:dyDescent="0.35">
      <c r="A1234">
        <v>1233</v>
      </c>
      <c r="B1234" t="s">
        <v>15</v>
      </c>
      <c r="C1234" t="s">
        <v>24</v>
      </c>
      <c r="D1234" s="1">
        <v>45549</v>
      </c>
      <c r="E1234" t="s">
        <v>28</v>
      </c>
      <c r="F1234">
        <v>16</v>
      </c>
      <c r="G1234">
        <v>251</v>
      </c>
      <c r="H1234">
        <v>15</v>
      </c>
      <c r="I1234">
        <v>1420</v>
      </c>
      <c r="J1234">
        <v>778</v>
      </c>
      <c r="K1234">
        <v>152</v>
      </c>
      <c r="L1234">
        <v>97</v>
      </c>
      <c r="M1234">
        <v>1.7232394366197099</v>
      </c>
      <c r="N1234" t="s">
        <v>21</v>
      </c>
      <c r="O1234">
        <v>0</v>
      </c>
    </row>
    <row r="1235" spans="1:15" x14ac:dyDescent="0.35">
      <c r="A1235">
        <v>1234</v>
      </c>
      <c r="B1235" t="s">
        <v>22</v>
      </c>
      <c r="C1235" t="s">
        <v>24</v>
      </c>
      <c r="D1235" s="1">
        <v>45471</v>
      </c>
      <c r="E1235" t="s">
        <v>30</v>
      </c>
      <c r="F1235">
        <v>6</v>
      </c>
      <c r="G1235">
        <v>200</v>
      </c>
      <c r="H1235">
        <v>9</v>
      </c>
      <c r="I1235">
        <v>4520</v>
      </c>
      <c r="J1235">
        <v>268</v>
      </c>
      <c r="K1235">
        <v>500</v>
      </c>
      <c r="L1235">
        <v>260</v>
      </c>
      <c r="M1235">
        <v>1.2274336283185801</v>
      </c>
      <c r="N1235" t="s">
        <v>23</v>
      </c>
      <c r="O1235">
        <v>0</v>
      </c>
    </row>
    <row r="1236" spans="1:15" x14ac:dyDescent="0.35">
      <c r="A1236">
        <v>1235</v>
      </c>
      <c r="B1236" t="s">
        <v>22</v>
      </c>
      <c r="C1236" t="s">
        <v>19</v>
      </c>
      <c r="D1236" s="1">
        <v>45462</v>
      </c>
      <c r="E1236" t="s">
        <v>25</v>
      </c>
      <c r="F1236">
        <v>22</v>
      </c>
      <c r="G1236">
        <v>30</v>
      </c>
      <c r="H1236">
        <v>4</v>
      </c>
      <c r="I1236">
        <v>4292</v>
      </c>
      <c r="J1236">
        <v>798</v>
      </c>
      <c r="K1236">
        <v>497</v>
      </c>
      <c r="L1236">
        <v>116</v>
      </c>
      <c r="M1236">
        <v>1.3287511649580599</v>
      </c>
      <c r="N1236" t="s">
        <v>23</v>
      </c>
      <c r="O1236">
        <v>0</v>
      </c>
    </row>
    <row r="1237" spans="1:15" x14ac:dyDescent="0.35">
      <c r="A1237">
        <v>1236</v>
      </c>
      <c r="B1237" t="s">
        <v>22</v>
      </c>
      <c r="C1237" t="s">
        <v>16</v>
      </c>
      <c r="D1237" s="1">
        <v>45502</v>
      </c>
      <c r="E1237" t="s">
        <v>29</v>
      </c>
      <c r="F1237">
        <v>13</v>
      </c>
      <c r="G1237">
        <v>240</v>
      </c>
      <c r="H1237">
        <v>11</v>
      </c>
      <c r="I1237">
        <v>1854</v>
      </c>
      <c r="J1237">
        <v>680</v>
      </c>
      <c r="K1237">
        <v>147</v>
      </c>
      <c r="L1237">
        <v>366</v>
      </c>
      <c r="M1237">
        <v>1.6434735706580299</v>
      </c>
      <c r="N1237" t="s">
        <v>21</v>
      </c>
      <c r="O1237">
        <v>0</v>
      </c>
    </row>
    <row r="1238" spans="1:15" x14ac:dyDescent="0.35">
      <c r="A1238">
        <v>1237</v>
      </c>
      <c r="B1238" t="s">
        <v>15</v>
      </c>
      <c r="C1238" t="s">
        <v>24</v>
      </c>
      <c r="D1238" s="1">
        <v>45397</v>
      </c>
      <c r="E1238" t="s">
        <v>29</v>
      </c>
      <c r="F1238">
        <v>23</v>
      </c>
      <c r="G1238">
        <v>250</v>
      </c>
      <c r="H1238">
        <v>16</v>
      </c>
      <c r="I1238">
        <v>781</v>
      </c>
      <c r="J1238">
        <v>203</v>
      </c>
      <c r="K1238">
        <v>388</v>
      </c>
      <c r="L1238">
        <v>655</v>
      </c>
      <c r="M1238">
        <v>2.5953905249679798</v>
      </c>
      <c r="N1238" t="s">
        <v>18</v>
      </c>
      <c r="O1238">
        <v>0</v>
      </c>
    </row>
    <row r="1239" spans="1:15" x14ac:dyDescent="0.35">
      <c r="A1239">
        <v>1238</v>
      </c>
      <c r="B1239" t="s">
        <v>22</v>
      </c>
      <c r="C1239" t="s">
        <v>19</v>
      </c>
      <c r="D1239" s="1">
        <v>45381</v>
      </c>
      <c r="E1239" t="s">
        <v>28</v>
      </c>
      <c r="F1239">
        <v>19</v>
      </c>
      <c r="G1239">
        <v>161</v>
      </c>
      <c r="H1239">
        <v>9</v>
      </c>
      <c r="I1239">
        <v>2223</v>
      </c>
      <c r="J1239">
        <v>700</v>
      </c>
      <c r="K1239">
        <v>359</v>
      </c>
      <c r="L1239">
        <v>340</v>
      </c>
      <c r="M1239">
        <v>1.6293297345928901</v>
      </c>
      <c r="N1239" t="s">
        <v>21</v>
      </c>
      <c r="O1239">
        <v>0</v>
      </c>
    </row>
    <row r="1240" spans="1:15" x14ac:dyDescent="0.35">
      <c r="A1240">
        <v>1239</v>
      </c>
      <c r="B1240" t="s">
        <v>26</v>
      </c>
      <c r="C1240" t="s">
        <v>16</v>
      </c>
      <c r="D1240" s="1">
        <v>45389</v>
      </c>
      <c r="E1240" t="s">
        <v>20</v>
      </c>
      <c r="F1240">
        <v>19</v>
      </c>
      <c r="G1240">
        <v>252</v>
      </c>
      <c r="H1240">
        <v>18</v>
      </c>
      <c r="I1240">
        <v>386</v>
      </c>
      <c r="J1240">
        <v>598</v>
      </c>
      <c r="K1240">
        <v>534</v>
      </c>
      <c r="L1240">
        <v>352</v>
      </c>
      <c r="M1240">
        <v>4.8445595854922203</v>
      </c>
      <c r="N1240" t="s">
        <v>18</v>
      </c>
      <c r="O1240">
        <v>0</v>
      </c>
    </row>
    <row r="1241" spans="1:15" x14ac:dyDescent="0.35">
      <c r="A1241">
        <v>1240</v>
      </c>
      <c r="B1241" t="s">
        <v>26</v>
      </c>
      <c r="C1241" t="s">
        <v>16</v>
      </c>
      <c r="D1241" s="1">
        <v>45469</v>
      </c>
      <c r="E1241" t="s">
        <v>25</v>
      </c>
      <c r="F1241">
        <v>20</v>
      </c>
      <c r="G1241">
        <v>96</v>
      </c>
      <c r="H1241">
        <v>16</v>
      </c>
      <c r="I1241">
        <v>2412</v>
      </c>
      <c r="J1241">
        <v>117</v>
      </c>
      <c r="K1241">
        <v>10</v>
      </c>
      <c r="L1241">
        <v>511</v>
      </c>
      <c r="M1241">
        <v>1.2645107794361501</v>
      </c>
      <c r="N1241" t="s">
        <v>23</v>
      </c>
      <c r="O1241">
        <v>0</v>
      </c>
    </row>
    <row r="1242" spans="1:15" x14ac:dyDescent="0.35">
      <c r="A1242">
        <v>1241</v>
      </c>
      <c r="B1242" t="s">
        <v>22</v>
      </c>
      <c r="C1242" t="s">
        <v>24</v>
      </c>
      <c r="D1242" s="1">
        <v>45440</v>
      </c>
      <c r="E1242" t="s">
        <v>17</v>
      </c>
      <c r="F1242">
        <v>8</v>
      </c>
      <c r="G1242">
        <v>170</v>
      </c>
      <c r="H1242">
        <v>0</v>
      </c>
      <c r="I1242">
        <v>4622</v>
      </c>
      <c r="J1242">
        <v>685</v>
      </c>
      <c r="K1242">
        <v>168</v>
      </c>
      <c r="L1242">
        <v>311</v>
      </c>
      <c r="M1242">
        <v>1.2518390307226299</v>
      </c>
      <c r="N1242" t="s">
        <v>23</v>
      </c>
      <c r="O1242">
        <v>0</v>
      </c>
    </row>
    <row r="1243" spans="1:15" x14ac:dyDescent="0.35">
      <c r="A1243">
        <v>1242</v>
      </c>
      <c r="B1243" t="s">
        <v>15</v>
      </c>
      <c r="C1243" t="s">
        <v>16</v>
      </c>
      <c r="D1243" s="1">
        <v>45524</v>
      </c>
      <c r="E1243" t="s">
        <v>17</v>
      </c>
      <c r="F1243">
        <v>21</v>
      </c>
      <c r="G1243">
        <v>176</v>
      </c>
      <c r="H1243">
        <v>0</v>
      </c>
      <c r="I1243">
        <v>385</v>
      </c>
      <c r="J1243">
        <v>227</v>
      </c>
      <c r="K1243">
        <v>291</v>
      </c>
      <c r="L1243">
        <v>608</v>
      </c>
      <c r="M1243">
        <v>3.9246753246753201</v>
      </c>
      <c r="N1243" t="s">
        <v>18</v>
      </c>
      <c r="O1243">
        <v>0</v>
      </c>
    </row>
    <row r="1244" spans="1:15" x14ac:dyDescent="0.35">
      <c r="A1244">
        <v>1243</v>
      </c>
      <c r="B1244" t="s">
        <v>22</v>
      </c>
      <c r="C1244" t="s">
        <v>16</v>
      </c>
      <c r="D1244" s="1">
        <v>45512</v>
      </c>
      <c r="E1244" t="s">
        <v>27</v>
      </c>
      <c r="F1244">
        <v>17</v>
      </c>
      <c r="G1244">
        <v>165</v>
      </c>
      <c r="H1244">
        <v>16</v>
      </c>
      <c r="I1244">
        <v>2935</v>
      </c>
      <c r="J1244">
        <v>681</v>
      </c>
      <c r="K1244">
        <v>2</v>
      </c>
      <c r="L1244">
        <v>52</v>
      </c>
      <c r="M1244">
        <v>1.2504258943781901</v>
      </c>
      <c r="N1244" t="s">
        <v>23</v>
      </c>
      <c r="O1244">
        <v>0</v>
      </c>
    </row>
    <row r="1245" spans="1:15" x14ac:dyDescent="0.35">
      <c r="A1245">
        <v>1244</v>
      </c>
      <c r="B1245" t="s">
        <v>26</v>
      </c>
      <c r="C1245" t="s">
        <v>16</v>
      </c>
      <c r="D1245" s="1">
        <v>45579</v>
      </c>
      <c r="E1245" t="s">
        <v>29</v>
      </c>
      <c r="F1245">
        <v>19</v>
      </c>
      <c r="G1245">
        <v>61</v>
      </c>
      <c r="H1245">
        <v>9</v>
      </c>
      <c r="I1245">
        <v>1320</v>
      </c>
      <c r="J1245">
        <v>93</v>
      </c>
      <c r="K1245">
        <v>279</v>
      </c>
      <c r="L1245">
        <v>147</v>
      </c>
      <c r="M1245">
        <v>1.3931818181818101</v>
      </c>
      <c r="N1245" t="s">
        <v>23</v>
      </c>
      <c r="O1245">
        <v>0</v>
      </c>
    </row>
    <row r="1246" spans="1:15" x14ac:dyDescent="0.35">
      <c r="A1246">
        <v>1245</v>
      </c>
      <c r="B1246" t="s">
        <v>26</v>
      </c>
      <c r="C1246" t="s">
        <v>19</v>
      </c>
      <c r="D1246" s="1">
        <v>45404</v>
      </c>
      <c r="E1246" t="s">
        <v>29</v>
      </c>
      <c r="F1246">
        <v>18</v>
      </c>
      <c r="G1246">
        <v>236</v>
      </c>
      <c r="H1246">
        <v>12</v>
      </c>
      <c r="I1246">
        <v>313</v>
      </c>
      <c r="J1246">
        <v>489</v>
      </c>
      <c r="K1246">
        <v>365</v>
      </c>
      <c r="L1246">
        <v>255</v>
      </c>
      <c r="M1246">
        <v>4.5431309904153299</v>
      </c>
      <c r="N1246" t="s">
        <v>18</v>
      </c>
      <c r="O1246">
        <v>0</v>
      </c>
    </row>
    <row r="1247" spans="1:15" x14ac:dyDescent="0.35">
      <c r="A1247">
        <v>1246</v>
      </c>
      <c r="B1247" t="s">
        <v>26</v>
      </c>
      <c r="C1247" t="s">
        <v>24</v>
      </c>
      <c r="D1247" s="1">
        <v>45342</v>
      </c>
      <c r="E1247" t="s">
        <v>17</v>
      </c>
      <c r="F1247">
        <v>16</v>
      </c>
      <c r="G1247">
        <v>91</v>
      </c>
      <c r="H1247">
        <v>6</v>
      </c>
      <c r="I1247">
        <v>2190</v>
      </c>
      <c r="J1247">
        <v>314</v>
      </c>
      <c r="K1247">
        <v>320</v>
      </c>
      <c r="L1247">
        <v>178</v>
      </c>
      <c r="M1247">
        <v>1.3707762557077601</v>
      </c>
      <c r="N1247" t="s">
        <v>23</v>
      </c>
      <c r="O1247">
        <v>0</v>
      </c>
    </row>
    <row r="1248" spans="1:15" x14ac:dyDescent="0.35">
      <c r="A1248">
        <v>1247</v>
      </c>
      <c r="B1248" t="s">
        <v>22</v>
      </c>
      <c r="C1248" t="s">
        <v>24</v>
      </c>
      <c r="D1248" s="1">
        <v>45420</v>
      </c>
      <c r="E1248" t="s">
        <v>25</v>
      </c>
      <c r="F1248">
        <v>8</v>
      </c>
      <c r="G1248">
        <v>172</v>
      </c>
      <c r="H1248">
        <v>18</v>
      </c>
      <c r="I1248">
        <v>1161</v>
      </c>
      <c r="J1248">
        <v>431</v>
      </c>
      <c r="K1248">
        <v>569</v>
      </c>
      <c r="L1248">
        <v>205</v>
      </c>
      <c r="M1248">
        <v>2.0378983634797501</v>
      </c>
      <c r="N1248" t="s">
        <v>21</v>
      </c>
      <c r="O1248">
        <v>1</v>
      </c>
    </row>
    <row r="1249" spans="1:15" x14ac:dyDescent="0.35">
      <c r="A1249">
        <v>1248</v>
      </c>
      <c r="B1249" t="s">
        <v>15</v>
      </c>
      <c r="C1249" t="s">
        <v>16</v>
      </c>
      <c r="D1249" s="1">
        <v>45528</v>
      </c>
      <c r="E1249" t="s">
        <v>28</v>
      </c>
      <c r="F1249">
        <v>22</v>
      </c>
      <c r="G1249">
        <v>246</v>
      </c>
      <c r="H1249">
        <v>10</v>
      </c>
      <c r="I1249">
        <v>4521</v>
      </c>
      <c r="J1249">
        <v>192</v>
      </c>
      <c r="K1249">
        <v>386</v>
      </c>
      <c r="L1249">
        <v>448</v>
      </c>
      <c r="M1249">
        <v>1.2269409422694</v>
      </c>
      <c r="N1249" t="s">
        <v>23</v>
      </c>
      <c r="O1249">
        <v>0</v>
      </c>
    </row>
    <row r="1250" spans="1:15" x14ac:dyDescent="0.35">
      <c r="A1250">
        <v>1249</v>
      </c>
      <c r="B1250" t="s">
        <v>22</v>
      </c>
      <c r="C1250" t="s">
        <v>24</v>
      </c>
      <c r="D1250" s="1">
        <v>45549</v>
      </c>
      <c r="E1250" t="s">
        <v>28</v>
      </c>
      <c r="F1250">
        <v>19</v>
      </c>
      <c r="G1250">
        <v>256</v>
      </c>
      <c r="H1250">
        <v>0</v>
      </c>
      <c r="I1250">
        <v>2979</v>
      </c>
      <c r="J1250">
        <v>484</v>
      </c>
      <c r="K1250">
        <v>364</v>
      </c>
      <c r="L1250">
        <v>438</v>
      </c>
      <c r="M1250">
        <v>1.4316884860691499</v>
      </c>
      <c r="N1250" t="s">
        <v>23</v>
      </c>
      <c r="O1250">
        <v>0</v>
      </c>
    </row>
    <row r="1251" spans="1:15" x14ac:dyDescent="0.35">
      <c r="A1251">
        <v>1250</v>
      </c>
      <c r="B1251" t="s">
        <v>15</v>
      </c>
      <c r="C1251" t="s">
        <v>19</v>
      </c>
      <c r="D1251" s="1">
        <v>45578</v>
      </c>
      <c r="E1251" t="s">
        <v>20</v>
      </c>
      <c r="F1251">
        <v>15</v>
      </c>
      <c r="G1251">
        <v>144</v>
      </c>
      <c r="H1251">
        <v>18</v>
      </c>
      <c r="I1251">
        <v>266</v>
      </c>
      <c r="J1251">
        <v>790</v>
      </c>
      <c r="K1251">
        <v>433</v>
      </c>
      <c r="L1251">
        <v>91</v>
      </c>
      <c r="M1251">
        <v>5.9398496240601499</v>
      </c>
      <c r="N1251" t="s">
        <v>18</v>
      </c>
      <c r="O1251">
        <v>0</v>
      </c>
    </row>
    <row r="1252" spans="1:15" x14ac:dyDescent="0.35">
      <c r="A1252">
        <v>1251</v>
      </c>
      <c r="B1252" t="s">
        <v>22</v>
      </c>
      <c r="C1252" t="s">
        <v>16</v>
      </c>
      <c r="D1252" s="1">
        <v>45554</v>
      </c>
      <c r="E1252" t="s">
        <v>27</v>
      </c>
      <c r="F1252">
        <v>18</v>
      </c>
      <c r="G1252">
        <v>84</v>
      </c>
      <c r="H1252">
        <v>12</v>
      </c>
      <c r="I1252">
        <v>3106</v>
      </c>
      <c r="J1252">
        <v>135</v>
      </c>
      <c r="K1252">
        <v>558</v>
      </c>
      <c r="L1252">
        <v>580</v>
      </c>
      <c r="M1252">
        <v>1.4098518995492499</v>
      </c>
      <c r="N1252" t="s">
        <v>23</v>
      </c>
      <c r="O1252">
        <v>0</v>
      </c>
    </row>
    <row r="1253" spans="1:15" x14ac:dyDescent="0.35">
      <c r="A1253">
        <v>1252</v>
      </c>
      <c r="B1253" t="s">
        <v>15</v>
      </c>
      <c r="C1253" t="s">
        <v>16</v>
      </c>
      <c r="D1253" s="1">
        <v>45295</v>
      </c>
      <c r="E1253" t="s">
        <v>27</v>
      </c>
      <c r="F1253">
        <v>7</v>
      </c>
      <c r="G1253">
        <v>158</v>
      </c>
      <c r="H1253">
        <v>20</v>
      </c>
      <c r="I1253">
        <v>3841</v>
      </c>
      <c r="J1253">
        <v>786</v>
      </c>
      <c r="K1253">
        <v>532</v>
      </c>
      <c r="L1253">
        <v>472</v>
      </c>
      <c r="M1253">
        <v>1.4660244727935401</v>
      </c>
      <c r="N1253" t="s">
        <v>23</v>
      </c>
      <c r="O1253">
        <v>0</v>
      </c>
    </row>
    <row r="1254" spans="1:15" x14ac:dyDescent="0.35">
      <c r="A1254">
        <v>1253</v>
      </c>
      <c r="B1254" t="s">
        <v>26</v>
      </c>
      <c r="C1254" t="s">
        <v>24</v>
      </c>
      <c r="D1254" s="1">
        <v>45346</v>
      </c>
      <c r="E1254" t="s">
        <v>28</v>
      </c>
      <c r="F1254">
        <v>16</v>
      </c>
      <c r="G1254">
        <v>51</v>
      </c>
      <c r="H1254">
        <v>3</v>
      </c>
      <c r="I1254">
        <v>2781</v>
      </c>
      <c r="J1254">
        <v>613</v>
      </c>
      <c r="K1254">
        <v>101</v>
      </c>
      <c r="L1254">
        <v>298</v>
      </c>
      <c r="M1254">
        <v>1.3638978784609801</v>
      </c>
      <c r="N1254" t="s">
        <v>23</v>
      </c>
      <c r="O1254">
        <v>0</v>
      </c>
    </row>
    <row r="1255" spans="1:15" x14ac:dyDescent="0.35">
      <c r="A1255">
        <v>1254</v>
      </c>
      <c r="B1255" t="s">
        <v>26</v>
      </c>
      <c r="C1255" t="s">
        <v>16</v>
      </c>
      <c r="D1255" s="1">
        <v>45591</v>
      </c>
      <c r="E1255" t="s">
        <v>28</v>
      </c>
      <c r="F1255">
        <v>23</v>
      </c>
      <c r="G1255">
        <v>273</v>
      </c>
      <c r="H1255">
        <v>4</v>
      </c>
      <c r="I1255">
        <v>4234</v>
      </c>
      <c r="J1255">
        <v>762</v>
      </c>
      <c r="K1255">
        <v>56</v>
      </c>
      <c r="L1255">
        <v>210</v>
      </c>
      <c r="M1255">
        <v>1.24279641001417</v>
      </c>
      <c r="N1255" t="s">
        <v>23</v>
      </c>
      <c r="O1255">
        <v>0</v>
      </c>
    </row>
    <row r="1256" spans="1:15" x14ac:dyDescent="0.35">
      <c r="A1256">
        <v>1255</v>
      </c>
      <c r="B1256" t="s">
        <v>22</v>
      </c>
      <c r="C1256" t="s">
        <v>19</v>
      </c>
      <c r="D1256" s="1">
        <v>45406</v>
      </c>
      <c r="E1256" t="s">
        <v>25</v>
      </c>
      <c r="F1256">
        <v>12</v>
      </c>
      <c r="G1256">
        <v>78</v>
      </c>
      <c r="H1256">
        <v>2</v>
      </c>
      <c r="I1256">
        <v>1317</v>
      </c>
      <c r="J1256">
        <v>313</v>
      </c>
      <c r="K1256">
        <v>320</v>
      </c>
      <c r="L1256">
        <v>7</v>
      </c>
      <c r="M1256">
        <v>1.48595292331055</v>
      </c>
      <c r="N1256" t="s">
        <v>23</v>
      </c>
      <c r="O1256">
        <v>0</v>
      </c>
    </row>
    <row r="1257" spans="1:15" x14ac:dyDescent="0.35">
      <c r="A1257">
        <v>1256</v>
      </c>
      <c r="B1257" t="s">
        <v>15</v>
      </c>
      <c r="C1257" t="s">
        <v>16</v>
      </c>
      <c r="D1257" s="1">
        <v>45292</v>
      </c>
      <c r="E1257" t="s">
        <v>29</v>
      </c>
      <c r="F1257">
        <v>12</v>
      </c>
      <c r="G1257">
        <v>73</v>
      </c>
      <c r="H1257">
        <v>15</v>
      </c>
      <c r="I1257">
        <v>1303</v>
      </c>
      <c r="J1257">
        <v>623</v>
      </c>
      <c r="K1257">
        <v>125</v>
      </c>
      <c r="L1257">
        <v>533</v>
      </c>
      <c r="M1257">
        <v>1.9831158864159599</v>
      </c>
      <c r="N1257" t="s">
        <v>21</v>
      </c>
      <c r="O1257">
        <v>0</v>
      </c>
    </row>
    <row r="1258" spans="1:15" x14ac:dyDescent="0.35">
      <c r="A1258">
        <v>1257</v>
      </c>
      <c r="B1258" t="s">
        <v>15</v>
      </c>
      <c r="C1258" t="s">
        <v>24</v>
      </c>
      <c r="D1258" s="1">
        <v>45304</v>
      </c>
      <c r="E1258" t="s">
        <v>28</v>
      </c>
      <c r="F1258">
        <v>18</v>
      </c>
      <c r="G1258">
        <v>267</v>
      </c>
      <c r="H1258">
        <v>5</v>
      </c>
      <c r="I1258">
        <v>4193</v>
      </c>
      <c r="J1258">
        <v>459</v>
      </c>
      <c r="K1258">
        <v>402</v>
      </c>
      <c r="L1258">
        <v>57</v>
      </c>
      <c r="M1258">
        <v>1.2189363224421601</v>
      </c>
      <c r="N1258" t="s">
        <v>23</v>
      </c>
      <c r="O1258">
        <v>0</v>
      </c>
    </row>
    <row r="1259" spans="1:15" x14ac:dyDescent="0.35">
      <c r="A1259">
        <v>1258</v>
      </c>
      <c r="B1259" t="s">
        <v>26</v>
      </c>
      <c r="C1259" t="s">
        <v>16</v>
      </c>
      <c r="D1259" s="1">
        <v>45412</v>
      </c>
      <c r="E1259" t="s">
        <v>17</v>
      </c>
      <c r="F1259">
        <v>19</v>
      </c>
      <c r="G1259">
        <v>94</v>
      </c>
      <c r="H1259">
        <v>20</v>
      </c>
      <c r="I1259">
        <v>4528</v>
      </c>
      <c r="J1259">
        <v>271</v>
      </c>
      <c r="K1259">
        <v>451</v>
      </c>
      <c r="L1259">
        <v>674</v>
      </c>
      <c r="M1259">
        <v>1.3083038869257899</v>
      </c>
      <c r="N1259" t="s">
        <v>23</v>
      </c>
      <c r="O1259">
        <v>0</v>
      </c>
    </row>
    <row r="1260" spans="1:15" x14ac:dyDescent="0.35">
      <c r="A1260">
        <v>1259</v>
      </c>
      <c r="B1260" t="s">
        <v>26</v>
      </c>
      <c r="C1260" t="s">
        <v>19</v>
      </c>
      <c r="D1260" s="1">
        <v>45303</v>
      </c>
      <c r="E1260" t="s">
        <v>30</v>
      </c>
      <c r="F1260">
        <v>23</v>
      </c>
      <c r="G1260">
        <v>122</v>
      </c>
      <c r="H1260">
        <v>15</v>
      </c>
      <c r="I1260">
        <v>1563</v>
      </c>
      <c r="J1260">
        <v>150</v>
      </c>
      <c r="K1260">
        <v>248</v>
      </c>
      <c r="L1260">
        <v>175</v>
      </c>
      <c r="M1260">
        <v>1.36660268714011</v>
      </c>
      <c r="N1260" t="s">
        <v>23</v>
      </c>
      <c r="O1260">
        <v>0</v>
      </c>
    </row>
    <row r="1261" spans="1:15" x14ac:dyDescent="0.35">
      <c r="A1261">
        <v>1260</v>
      </c>
      <c r="B1261" t="s">
        <v>22</v>
      </c>
      <c r="C1261" t="s">
        <v>24</v>
      </c>
      <c r="D1261" s="1">
        <v>45537</v>
      </c>
      <c r="E1261" t="s">
        <v>29</v>
      </c>
      <c r="F1261">
        <v>14</v>
      </c>
      <c r="G1261">
        <v>220</v>
      </c>
      <c r="H1261">
        <v>12</v>
      </c>
      <c r="I1261">
        <v>2425</v>
      </c>
      <c r="J1261">
        <v>301</v>
      </c>
      <c r="K1261">
        <v>104</v>
      </c>
      <c r="L1261">
        <v>603</v>
      </c>
      <c r="M1261">
        <v>1.4156701030927801</v>
      </c>
      <c r="N1261" t="s">
        <v>23</v>
      </c>
      <c r="O1261">
        <v>0</v>
      </c>
    </row>
    <row r="1262" spans="1:15" x14ac:dyDescent="0.35">
      <c r="A1262">
        <v>1261</v>
      </c>
      <c r="B1262" t="s">
        <v>15</v>
      </c>
      <c r="C1262" t="s">
        <v>24</v>
      </c>
      <c r="D1262" s="1">
        <v>45346</v>
      </c>
      <c r="E1262" t="s">
        <v>28</v>
      </c>
      <c r="F1262">
        <v>20</v>
      </c>
      <c r="G1262">
        <v>81</v>
      </c>
      <c r="H1262">
        <v>18</v>
      </c>
      <c r="I1262">
        <v>3850</v>
      </c>
      <c r="J1262">
        <v>431</v>
      </c>
      <c r="K1262">
        <v>437</v>
      </c>
      <c r="L1262">
        <v>152</v>
      </c>
      <c r="M1262">
        <v>1.2649350649350599</v>
      </c>
      <c r="N1262" t="s">
        <v>23</v>
      </c>
      <c r="O1262">
        <v>0</v>
      </c>
    </row>
    <row r="1263" spans="1:15" x14ac:dyDescent="0.35">
      <c r="A1263">
        <v>1262</v>
      </c>
      <c r="B1263" t="s">
        <v>26</v>
      </c>
      <c r="C1263" t="s">
        <v>19</v>
      </c>
      <c r="D1263" s="1">
        <v>45491</v>
      </c>
      <c r="E1263" t="s">
        <v>27</v>
      </c>
      <c r="F1263">
        <v>20</v>
      </c>
      <c r="G1263">
        <v>41</v>
      </c>
      <c r="H1263">
        <v>11</v>
      </c>
      <c r="I1263">
        <v>140</v>
      </c>
      <c r="J1263">
        <v>599</v>
      </c>
      <c r="K1263">
        <v>312</v>
      </c>
      <c r="L1263">
        <v>35</v>
      </c>
      <c r="M1263">
        <v>7.75714285714285</v>
      </c>
      <c r="N1263" t="s">
        <v>18</v>
      </c>
      <c r="O1263">
        <v>0</v>
      </c>
    </row>
    <row r="1264" spans="1:15" x14ac:dyDescent="0.35">
      <c r="A1264">
        <v>1263</v>
      </c>
      <c r="B1264" t="s">
        <v>15</v>
      </c>
      <c r="C1264" t="s">
        <v>16</v>
      </c>
      <c r="D1264" s="1">
        <v>45363</v>
      </c>
      <c r="E1264" t="s">
        <v>17</v>
      </c>
      <c r="F1264">
        <v>17</v>
      </c>
      <c r="G1264">
        <v>276</v>
      </c>
      <c r="H1264">
        <v>16</v>
      </c>
      <c r="I1264">
        <v>3883</v>
      </c>
      <c r="J1264">
        <v>745</v>
      </c>
      <c r="K1264">
        <v>471</v>
      </c>
      <c r="L1264">
        <v>284</v>
      </c>
      <c r="M1264">
        <v>1.38629925315477</v>
      </c>
      <c r="N1264" t="s">
        <v>23</v>
      </c>
      <c r="O1264">
        <v>0</v>
      </c>
    </row>
    <row r="1265" spans="1:15" x14ac:dyDescent="0.35">
      <c r="A1265">
        <v>1264</v>
      </c>
      <c r="B1265" t="s">
        <v>26</v>
      </c>
      <c r="C1265" t="s">
        <v>16</v>
      </c>
      <c r="D1265" s="1">
        <v>45399</v>
      </c>
      <c r="E1265" t="s">
        <v>25</v>
      </c>
      <c r="F1265">
        <v>11</v>
      </c>
      <c r="G1265">
        <v>97</v>
      </c>
      <c r="H1265">
        <v>11</v>
      </c>
      <c r="I1265">
        <v>2907</v>
      </c>
      <c r="J1265">
        <v>728</v>
      </c>
      <c r="K1265">
        <v>539</v>
      </c>
      <c r="L1265">
        <v>400</v>
      </c>
      <c r="M1265">
        <v>1.5734434124526999</v>
      </c>
      <c r="N1265" t="s">
        <v>23</v>
      </c>
      <c r="O1265">
        <v>0</v>
      </c>
    </row>
    <row r="1266" spans="1:15" x14ac:dyDescent="0.35">
      <c r="A1266">
        <v>1265</v>
      </c>
      <c r="B1266" t="s">
        <v>26</v>
      </c>
      <c r="C1266" t="s">
        <v>24</v>
      </c>
      <c r="D1266" s="1">
        <v>45580</v>
      </c>
      <c r="E1266" t="s">
        <v>17</v>
      </c>
      <c r="F1266">
        <v>18</v>
      </c>
      <c r="G1266">
        <v>54</v>
      </c>
      <c r="H1266">
        <v>20</v>
      </c>
      <c r="I1266">
        <v>2829</v>
      </c>
      <c r="J1266">
        <v>475</v>
      </c>
      <c r="K1266">
        <v>145</v>
      </c>
      <c r="L1266">
        <v>286</v>
      </c>
      <c r="M1266">
        <v>1.3202545068928899</v>
      </c>
      <c r="N1266" t="s">
        <v>23</v>
      </c>
      <c r="O1266">
        <v>0</v>
      </c>
    </row>
    <row r="1267" spans="1:15" x14ac:dyDescent="0.35">
      <c r="A1267">
        <v>1266</v>
      </c>
      <c r="B1267" t="s">
        <v>26</v>
      </c>
      <c r="C1267" t="s">
        <v>19</v>
      </c>
      <c r="D1267" s="1">
        <v>45539</v>
      </c>
      <c r="E1267" t="s">
        <v>25</v>
      </c>
      <c r="F1267">
        <v>22</v>
      </c>
      <c r="G1267">
        <v>152</v>
      </c>
      <c r="H1267">
        <v>4</v>
      </c>
      <c r="I1267">
        <v>3134</v>
      </c>
      <c r="J1267">
        <v>488</v>
      </c>
      <c r="K1267">
        <v>186</v>
      </c>
      <c r="L1267">
        <v>590</v>
      </c>
      <c r="M1267">
        <v>1.40331844288449</v>
      </c>
      <c r="N1267" t="s">
        <v>23</v>
      </c>
      <c r="O1267">
        <v>0</v>
      </c>
    </row>
    <row r="1268" spans="1:15" x14ac:dyDescent="0.35">
      <c r="A1268">
        <v>1267</v>
      </c>
      <c r="B1268" t="s">
        <v>26</v>
      </c>
      <c r="C1268" t="s">
        <v>24</v>
      </c>
      <c r="D1268" s="1">
        <v>45457</v>
      </c>
      <c r="E1268" t="s">
        <v>30</v>
      </c>
      <c r="F1268">
        <v>8</v>
      </c>
      <c r="G1268">
        <v>43</v>
      </c>
      <c r="H1268">
        <v>0</v>
      </c>
      <c r="I1268">
        <v>4873</v>
      </c>
      <c r="J1268">
        <v>599</v>
      </c>
      <c r="K1268">
        <v>358</v>
      </c>
      <c r="L1268">
        <v>599</v>
      </c>
      <c r="M1268">
        <v>1.31931048635337</v>
      </c>
      <c r="N1268" t="s">
        <v>23</v>
      </c>
      <c r="O1268">
        <v>0</v>
      </c>
    </row>
    <row r="1269" spans="1:15" x14ac:dyDescent="0.35">
      <c r="A1269">
        <v>1268</v>
      </c>
      <c r="B1269" t="s">
        <v>26</v>
      </c>
      <c r="C1269" t="s">
        <v>24</v>
      </c>
      <c r="D1269" s="1">
        <v>45373</v>
      </c>
      <c r="E1269" t="s">
        <v>30</v>
      </c>
      <c r="F1269">
        <v>16</v>
      </c>
      <c r="G1269">
        <v>138</v>
      </c>
      <c r="H1269">
        <v>7</v>
      </c>
      <c r="I1269">
        <v>1948</v>
      </c>
      <c r="J1269">
        <v>103</v>
      </c>
      <c r="K1269">
        <v>110</v>
      </c>
      <c r="L1269">
        <v>512</v>
      </c>
      <c r="M1269">
        <v>1.37217659137577</v>
      </c>
      <c r="N1269" t="s">
        <v>23</v>
      </c>
      <c r="O1269">
        <v>0</v>
      </c>
    </row>
    <row r="1270" spans="1:15" x14ac:dyDescent="0.35">
      <c r="A1270">
        <v>1269</v>
      </c>
      <c r="B1270" t="s">
        <v>15</v>
      </c>
      <c r="C1270" t="s">
        <v>16</v>
      </c>
      <c r="D1270" s="1">
        <v>45345</v>
      </c>
      <c r="E1270" t="s">
        <v>30</v>
      </c>
      <c r="F1270">
        <v>14</v>
      </c>
      <c r="G1270">
        <v>78</v>
      </c>
      <c r="H1270">
        <v>1</v>
      </c>
      <c r="I1270">
        <v>1475</v>
      </c>
      <c r="J1270">
        <v>750</v>
      </c>
      <c r="K1270">
        <v>395</v>
      </c>
      <c r="L1270">
        <v>431</v>
      </c>
      <c r="M1270">
        <v>2.0684745762711798</v>
      </c>
      <c r="N1270" t="s">
        <v>21</v>
      </c>
      <c r="O1270">
        <v>0</v>
      </c>
    </row>
    <row r="1271" spans="1:15" x14ac:dyDescent="0.35">
      <c r="A1271">
        <v>1270</v>
      </c>
      <c r="B1271" t="s">
        <v>26</v>
      </c>
      <c r="C1271" t="s">
        <v>16</v>
      </c>
      <c r="D1271" s="1">
        <v>45329</v>
      </c>
      <c r="E1271" t="s">
        <v>25</v>
      </c>
      <c r="F1271">
        <v>11</v>
      </c>
      <c r="G1271">
        <v>184</v>
      </c>
      <c r="H1271">
        <v>3</v>
      </c>
      <c r="I1271">
        <v>3667</v>
      </c>
      <c r="J1271">
        <v>786</v>
      </c>
      <c r="K1271">
        <v>385</v>
      </c>
      <c r="L1271">
        <v>622</v>
      </c>
      <c r="M1271">
        <v>1.4889555494955</v>
      </c>
      <c r="N1271" t="s">
        <v>23</v>
      </c>
      <c r="O1271">
        <v>0</v>
      </c>
    </row>
    <row r="1272" spans="1:15" x14ac:dyDescent="0.35">
      <c r="A1272">
        <v>1271</v>
      </c>
      <c r="B1272" t="s">
        <v>15</v>
      </c>
      <c r="C1272" t="s">
        <v>16</v>
      </c>
      <c r="D1272" s="1">
        <v>45522</v>
      </c>
      <c r="E1272" t="s">
        <v>20</v>
      </c>
      <c r="F1272">
        <v>14</v>
      </c>
      <c r="G1272">
        <v>271</v>
      </c>
      <c r="H1272">
        <v>14</v>
      </c>
      <c r="I1272">
        <v>3143</v>
      </c>
      <c r="J1272">
        <v>141</v>
      </c>
      <c r="K1272">
        <v>589</v>
      </c>
      <c r="L1272">
        <v>570</v>
      </c>
      <c r="M1272">
        <v>1.4136175628380501</v>
      </c>
      <c r="N1272" t="s">
        <v>23</v>
      </c>
      <c r="O1272">
        <v>0</v>
      </c>
    </row>
    <row r="1273" spans="1:15" x14ac:dyDescent="0.35">
      <c r="A1273">
        <v>1272</v>
      </c>
      <c r="B1273" t="s">
        <v>26</v>
      </c>
      <c r="C1273" t="s">
        <v>16</v>
      </c>
      <c r="D1273" s="1">
        <v>45438</v>
      </c>
      <c r="E1273" t="s">
        <v>20</v>
      </c>
      <c r="F1273">
        <v>8</v>
      </c>
      <c r="G1273">
        <v>32</v>
      </c>
      <c r="H1273">
        <v>20</v>
      </c>
      <c r="I1273">
        <v>1897</v>
      </c>
      <c r="J1273">
        <v>211</v>
      </c>
      <c r="K1273">
        <v>167</v>
      </c>
      <c r="L1273">
        <v>445</v>
      </c>
      <c r="M1273">
        <v>1.4338429098576699</v>
      </c>
      <c r="N1273" t="s">
        <v>23</v>
      </c>
      <c r="O1273">
        <v>0</v>
      </c>
    </row>
    <row r="1274" spans="1:15" x14ac:dyDescent="0.35">
      <c r="A1274">
        <v>1273</v>
      </c>
      <c r="B1274" t="s">
        <v>22</v>
      </c>
      <c r="C1274" t="s">
        <v>24</v>
      </c>
      <c r="D1274" s="1">
        <v>45341</v>
      </c>
      <c r="E1274" t="s">
        <v>29</v>
      </c>
      <c r="F1274">
        <v>23</v>
      </c>
      <c r="G1274">
        <v>56</v>
      </c>
      <c r="H1274">
        <v>10</v>
      </c>
      <c r="I1274">
        <v>1717</v>
      </c>
      <c r="J1274">
        <v>39</v>
      </c>
      <c r="K1274">
        <v>145</v>
      </c>
      <c r="L1274">
        <v>6</v>
      </c>
      <c r="M1274">
        <v>1.1106581246359899</v>
      </c>
      <c r="N1274" t="s">
        <v>23</v>
      </c>
      <c r="O1274">
        <v>0</v>
      </c>
    </row>
    <row r="1275" spans="1:15" x14ac:dyDescent="0.35">
      <c r="A1275">
        <v>1274</v>
      </c>
      <c r="B1275" t="s">
        <v>26</v>
      </c>
      <c r="C1275" t="s">
        <v>24</v>
      </c>
      <c r="D1275" s="1">
        <v>45386</v>
      </c>
      <c r="E1275" t="s">
        <v>27</v>
      </c>
      <c r="F1275">
        <v>22</v>
      </c>
      <c r="G1275">
        <v>200</v>
      </c>
      <c r="H1275">
        <v>11</v>
      </c>
      <c r="I1275">
        <v>4376</v>
      </c>
      <c r="J1275">
        <v>513</v>
      </c>
      <c r="K1275">
        <v>196</v>
      </c>
      <c r="L1275">
        <v>213</v>
      </c>
      <c r="M1275">
        <v>1.21069469835466</v>
      </c>
      <c r="N1275" t="s">
        <v>23</v>
      </c>
      <c r="O1275">
        <v>0</v>
      </c>
    </row>
    <row r="1276" spans="1:15" x14ac:dyDescent="0.35">
      <c r="A1276">
        <v>1275</v>
      </c>
      <c r="B1276" t="s">
        <v>26</v>
      </c>
      <c r="C1276" t="s">
        <v>24</v>
      </c>
      <c r="D1276" s="1">
        <v>45578</v>
      </c>
      <c r="E1276" t="s">
        <v>20</v>
      </c>
      <c r="F1276">
        <v>8</v>
      </c>
      <c r="G1276">
        <v>60</v>
      </c>
      <c r="H1276">
        <v>4</v>
      </c>
      <c r="I1276">
        <v>1179</v>
      </c>
      <c r="J1276">
        <v>73</v>
      </c>
      <c r="K1276">
        <v>451</v>
      </c>
      <c r="L1276">
        <v>438</v>
      </c>
      <c r="M1276">
        <v>1.81594571670907</v>
      </c>
      <c r="N1276" t="s">
        <v>21</v>
      </c>
      <c r="O1276">
        <v>0</v>
      </c>
    </row>
    <row r="1277" spans="1:15" x14ac:dyDescent="0.35">
      <c r="A1277">
        <v>1276</v>
      </c>
      <c r="B1277" t="s">
        <v>15</v>
      </c>
      <c r="C1277" t="s">
        <v>16</v>
      </c>
      <c r="D1277" s="1">
        <v>45556</v>
      </c>
      <c r="E1277" t="s">
        <v>28</v>
      </c>
      <c r="F1277">
        <v>23</v>
      </c>
      <c r="G1277">
        <v>189</v>
      </c>
      <c r="H1277">
        <v>0</v>
      </c>
      <c r="I1277">
        <v>2493</v>
      </c>
      <c r="J1277">
        <v>108</v>
      </c>
      <c r="K1277">
        <v>122</v>
      </c>
      <c r="L1277">
        <v>511</v>
      </c>
      <c r="M1277">
        <v>1.29723225030084</v>
      </c>
      <c r="N1277" t="s">
        <v>23</v>
      </c>
      <c r="O1277">
        <v>0</v>
      </c>
    </row>
    <row r="1278" spans="1:15" x14ac:dyDescent="0.35">
      <c r="A1278">
        <v>1277</v>
      </c>
      <c r="B1278" t="s">
        <v>15</v>
      </c>
      <c r="C1278" t="s">
        <v>16</v>
      </c>
      <c r="D1278" s="1">
        <v>45406</v>
      </c>
      <c r="E1278" t="s">
        <v>25</v>
      </c>
      <c r="F1278">
        <v>15</v>
      </c>
      <c r="G1278">
        <v>58</v>
      </c>
      <c r="H1278">
        <v>17</v>
      </c>
      <c r="I1278">
        <v>2424</v>
      </c>
      <c r="J1278">
        <v>262</v>
      </c>
      <c r="K1278">
        <v>401</v>
      </c>
      <c r="L1278">
        <v>367</v>
      </c>
      <c r="M1278">
        <v>1.42491749174917</v>
      </c>
      <c r="N1278" t="s">
        <v>23</v>
      </c>
      <c r="O1278">
        <v>0</v>
      </c>
    </row>
    <row r="1279" spans="1:15" x14ac:dyDescent="0.35">
      <c r="A1279">
        <v>1278</v>
      </c>
      <c r="B1279" t="s">
        <v>22</v>
      </c>
      <c r="C1279" t="s">
        <v>19</v>
      </c>
      <c r="D1279" s="1">
        <v>45586</v>
      </c>
      <c r="E1279" t="s">
        <v>29</v>
      </c>
      <c r="F1279">
        <v>7</v>
      </c>
      <c r="G1279">
        <v>299</v>
      </c>
      <c r="H1279">
        <v>3</v>
      </c>
      <c r="I1279">
        <v>2027</v>
      </c>
      <c r="J1279">
        <v>535</v>
      </c>
      <c r="K1279">
        <v>514</v>
      </c>
      <c r="L1279">
        <v>320</v>
      </c>
      <c r="M1279">
        <v>1.6753823384311699</v>
      </c>
      <c r="N1279" t="s">
        <v>21</v>
      </c>
      <c r="O1279">
        <v>0</v>
      </c>
    </row>
    <row r="1280" spans="1:15" x14ac:dyDescent="0.35">
      <c r="A1280">
        <v>1279</v>
      </c>
      <c r="B1280" t="s">
        <v>22</v>
      </c>
      <c r="C1280" t="s">
        <v>24</v>
      </c>
      <c r="D1280" s="1">
        <v>45590</v>
      </c>
      <c r="E1280" t="s">
        <v>30</v>
      </c>
      <c r="F1280">
        <v>14</v>
      </c>
      <c r="G1280">
        <v>122</v>
      </c>
      <c r="H1280">
        <v>10</v>
      </c>
      <c r="I1280">
        <v>3908</v>
      </c>
      <c r="J1280">
        <v>274</v>
      </c>
      <c r="K1280">
        <v>32</v>
      </c>
      <c r="L1280">
        <v>34</v>
      </c>
      <c r="M1280">
        <v>1.08700102354145</v>
      </c>
      <c r="N1280" t="s">
        <v>23</v>
      </c>
      <c r="O1280">
        <v>0</v>
      </c>
    </row>
    <row r="1281" spans="1:15" x14ac:dyDescent="0.35">
      <c r="A1281">
        <v>1280</v>
      </c>
      <c r="B1281" t="s">
        <v>26</v>
      </c>
      <c r="C1281" t="s">
        <v>16</v>
      </c>
      <c r="D1281" s="1">
        <v>45322</v>
      </c>
      <c r="E1281" t="s">
        <v>25</v>
      </c>
      <c r="F1281">
        <v>13</v>
      </c>
      <c r="G1281">
        <v>272</v>
      </c>
      <c r="H1281">
        <v>2</v>
      </c>
      <c r="I1281">
        <v>1191</v>
      </c>
      <c r="J1281">
        <v>214</v>
      </c>
      <c r="K1281">
        <v>562</v>
      </c>
      <c r="L1281">
        <v>338</v>
      </c>
      <c r="M1281">
        <v>1.9353484466834501</v>
      </c>
      <c r="N1281" t="s">
        <v>21</v>
      </c>
      <c r="O1281">
        <v>0</v>
      </c>
    </row>
    <row r="1282" spans="1:15" x14ac:dyDescent="0.35">
      <c r="A1282">
        <v>1281</v>
      </c>
      <c r="B1282" t="s">
        <v>26</v>
      </c>
      <c r="C1282" t="s">
        <v>19</v>
      </c>
      <c r="D1282" s="1">
        <v>45580</v>
      </c>
      <c r="E1282" t="s">
        <v>17</v>
      </c>
      <c r="F1282">
        <v>8</v>
      </c>
      <c r="G1282">
        <v>265</v>
      </c>
      <c r="H1282">
        <v>4</v>
      </c>
      <c r="I1282">
        <v>339</v>
      </c>
      <c r="J1282">
        <v>359</v>
      </c>
      <c r="K1282">
        <v>74</v>
      </c>
      <c r="L1282">
        <v>427</v>
      </c>
      <c r="M1282">
        <v>3.53687315634218</v>
      </c>
      <c r="N1282" t="s">
        <v>18</v>
      </c>
      <c r="O1282">
        <v>0</v>
      </c>
    </row>
    <row r="1283" spans="1:15" x14ac:dyDescent="0.35">
      <c r="A1283">
        <v>1282</v>
      </c>
      <c r="B1283" t="s">
        <v>26</v>
      </c>
      <c r="C1283" t="s">
        <v>16</v>
      </c>
      <c r="D1283" s="1">
        <v>45430</v>
      </c>
      <c r="E1283" t="s">
        <v>28</v>
      </c>
      <c r="F1283">
        <v>17</v>
      </c>
      <c r="G1283">
        <v>240</v>
      </c>
      <c r="H1283">
        <v>15</v>
      </c>
      <c r="I1283">
        <v>391</v>
      </c>
      <c r="J1283">
        <v>111</v>
      </c>
      <c r="K1283">
        <v>38</v>
      </c>
      <c r="L1283">
        <v>509</v>
      </c>
      <c r="M1283">
        <v>2.68286445012787</v>
      </c>
      <c r="N1283" t="s">
        <v>18</v>
      </c>
      <c r="O1283">
        <v>0</v>
      </c>
    </row>
    <row r="1284" spans="1:15" x14ac:dyDescent="0.35">
      <c r="A1284">
        <v>1283</v>
      </c>
      <c r="B1284" t="s">
        <v>15</v>
      </c>
      <c r="C1284" t="s">
        <v>19</v>
      </c>
      <c r="D1284" s="1">
        <v>45447</v>
      </c>
      <c r="E1284" t="s">
        <v>17</v>
      </c>
      <c r="F1284">
        <v>18</v>
      </c>
      <c r="G1284">
        <v>29</v>
      </c>
      <c r="H1284">
        <v>17</v>
      </c>
      <c r="I1284">
        <v>1915</v>
      </c>
      <c r="J1284">
        <v>26</v>
      </c>
      <c r="K1284">
        <v>58</v>
      </c>
      <c r="L1284">
        <v>27</v>
      </c>
      <c r="M1284">
        <v>1.0579634464751899</v>
      </c>
      <c r="N1284" t="s">
        <v>23</v>
      </c>
      <c r="O1284">
        <v>0</v>
      </c>
    </row>
    <row r="1285" spans="1:15" x14ac:dyDescent="0.35">
      <c r="A1285">
        <v>1284</v>
      </c>
      <c r="B1285" t="s">
        <v>22</v>
      </c>
      <c r="C1285" t="s">
        <v>19</v>
      </c>
      <c r="D1285" s="1">
        <v>45538</v>
      </c>
      <c r="E1285" t="s">
        <v>17</v>
      </c>
      <c r="F1285">
        <v>19</v>
      </c>
      <c r="G1285">
        <v>90</v>
      </c>
      <c r="H1285">
        <v>3</v>
      </c>
      <c r="I1285">
        <v>477</v>
      </c>
      <c r="J1285">
        <v>401</v>
      </c>
      <c r="K1285">
        <v>388</v>
      </c>
      <c r="L1285">
        <v>129</v>
      </c>
      <c r="M1285">
        <v>2.9245283018867898</v>
      </c>
      <c r="N1285" t="s">
        <v>18</v>
      </c>
      <c r="O1285">
        <v>0</v>
      </c>
    </row>
    <row r="1286" spans="1:15" x14ac:dyDescent="0.35">
      <c r="A1286">
        <v>1285</v>
      </c>
      <c r="B1286" t="s">
        <v>15</v>
      </c>
      <c r="C1286" t="s">
        <v>24</v>
      </c>
      <c r="D1286" s="1">
        <v>45516</v>
      </c>
      <c r="E1286" t="s">
        <v>29</v>
      </c>
      <c r="F1286">
        <v>19</v>
      </c>
      <c r="G1286">
        <v>49</v>
      </c>
      <c r="H1286">
        <v>7</v>
      </c>
      <c r="I1286">
        <v>1016</v>
      </c>
      <c r="J1286">
        <v>635</v>
      </c>
      <c r="K1286">
        <v>378</v>
      </c>
      <c r="L1286">
        <v>361</v>
      </c>
      <c r="M1286">
        <v>2.3523622047243999</v>
      </c>
      <c r="N1286" t="s">
        <v>21</v>
      </c>
      <c r="O1286">
        <v>0</v>
      </c>
    </row>
    <row r="1287" spans="1:15" x14ac:dyDescent="0.35">
      <c r="A1287">
        <v>1286</v>
      </c>
      <c r="B1287" t="s">
        <v>22</v>
      </c>
      <c r="C1287" t="s">
        <v>19</v>
      </c>
      <c r="D1287" s="1">
        <v>45410</v>
      </c>
      <c r="E1287" t="s">
        <v>20</v>
      </c>
      <c r="F1287">
        <v>23</v>
      </c>
      <c r="G1287">
        <v>43</v>
      </c>
      <c r="H1287">
        <v>0</v>
      </c>
      <c r="I1287">
        <v>803</v>
      </c>
      <c r="J1287">
        <v>607</v>
      </c>
      <c r="K1287">
        <v>12</v>
      </c>
      <c r="L1287">
        <v>233</v>
      </c>
      <c r="M1287">
        <v>2.0610211706102102</v>
      </c>
      <c r="N1287" t="s">
        <v>21</v>
      </c>
      <c r="O1287">
        <v>0</v>
      </c>
    </row>
    <row r="1288" spans="1:15" x14ac:dyDescent="0.35">
      <c r="A1288">
        <v>1287</v>
      </c>
      <c r="B1288" t="s">
        <v>22</v>
      </c>
      <c r="C1288" t="s">
        <v>16</v>
      </c>
      <c r="D1288" s="1">
        <v>45419</v>
      </c>
      <c r="E1288" t="s">
        <v>17</v>
      </c>
      <c r="F1288">
        <v>15</v>
      </c>
      <c r="G1288">
        <v>42</v>
      </c>
      <c r="H1288">
        <v>10</v>
      </c>
      <c r="I1288">
        <v>515</v>
      </c>
      <c r="J1288">
        <v>83</v>
      </c>
      <c r="K1288">
        <v>60</v>
      </c>
      <c r="L1288">
        <v>130</v>
      </c>
      <c r="M1288">
        <v>1.5300970873786399</v>
      </c>
      <c r="N1288" t="s">
        <v>23</v>
      </c>
      <c r="O1288">
        <v>0</v>
      </c>
    </row>
    <row r="1289" spans="1:15" x14ac:dyDescent="0.35">
      <c r="A1289">
        <v>1288</v>
      </c>
      <c r="B1289" t="s">
        <v>15</v>
      </c>
      <c r="C1289" t="s">
        <v>19</v>
      </c>
      <c r="D1289" s="1">
        <v>45471</v>
      </c>
      <c r="E1289" t="s">
        <v>30</v>
      </c>
      <c r="F1289">
        <v>18</v>
      </c>
      <c r="G1289">
        <v>265</v>
      </c>
      <c r="H1289">
        <v>3</v>
      </c>
      <c r="I1289">
        <v>4984</v>
      </c>
      <c r="J1289">
        <v>675</v>
      </c>
      <c r="K1289">
        <v>252</v>
      </c>
      <c r="L1289">
        <v>300</v>
      </c>
      <c r="M1289">
        <v>1.24618780096308</v>
      </c>
      <c r="N1289" t="s">
        <v>23</v>
      </c>
      <c r="O1289">
        <v>0</v>
      </c>
    </row>
    <row r="1290" spans="1:15" x14ac:dyDescent="0.35">
      <c r="A1290">
        <v>1289</v>
      </c>
      <c r="B1290" t="s">
        <v>22</v>
      </c>
      <c r="C1290" t="s">
        <v>19</v>
      </c>
      <c r="D1290" s="1">
        <v>45331</v>
      </c>
      <c r="E1290" t="s">
        <v>30</v>
      </c>
      <c r="F1290">
        <v>17</v>
      </c>
      <c r="G1290">
        <v>132</v>
      </c>
      <c r="H1290">
        <v>14</v>
      </c>
      <c r="I1290">
        <v>675</v>
      </c>
      <c r="J1290">
        <v>261</v>
      </c>
      <c r="K1290">
        <v>558</v>
      </c>
      <c r="L1290">
        <v>211</v>
      </c>
      <c r="M1290">
        <v>2.5259259259259199</v>
      </c>
      <c r="N1290" t="s">
        <v>18</v>
      </c>
      <c r="O1290">
        <v>1</v>
      </c>
    </row>
    <row r="1291" spans="1:15" x14ac:dyDescent="0.35">
      <c r="A1291">
        <v>1290</v>
      </c>
      <c r="B1291" t="s">
        <v>15</v>
      </c>
      <c r="C1291" t="s">
        <v>19</v>
      </c>
      <c r="D1291" s="1">
        <v>45446</v>
      </c>
      <c r="E1291" t="s">
        <v>29</v>
      </c>
      <c r="F1291">
        <v>14</v>
      </c>
      <c r="G1291">
        <v>183</v>
      </c>
      <c r="H1291">
        <v>17</v>
      </c>
      <c r="I1291">
        <v>3055</v>
      </c>
      <c r="J1291">
        <v>569</v>
      </c>
      <c r="K1291">
        <v>301</v>
      </c>
      <c r="L1291">
        <v>670</v>
      </c>
      <c r="M1291">
        <v>1.5040916530278201</v>
      </c>
      <c r="N1291" t="s">
        <v>23</v>
      </c>
      <c r="O1291">
        <v>0</v>
      </c>
    </row>
    <row r="1292" spans="1:15" x14ac:dyDescent="0.35">
      <c r="A1292">
        <v>1291</v>
      </c>
      <c r="B1292" t="s">
        <v>26</v>
      </c>
      <c r="C1292" t="s">
        <v>19</v>
      </c>
      <c r="D1292" s="1">
        <v>45549</v>
      </c>
      <c r="E1292" t="s">
        <v>28</v>
      </c>
      <c r="F1292">
        <v>21</v>
      </c>
      <c r="G1292">
        <v>163</v>
      </c>
      <c r="H1292">
        <v>2</v>
      </c>
      <c r="I1292">
        <v>905</v>
      </c>
      <c r="J1292">
        <v>60</v>
      </c>
      <c r="K1292">
        <v>356</v>
      </c>
      <c r="L1292">
        <v>421</v>
      </c>
      <c r="M1292">
        <v>1.92486187845303</v>
      </c>
      <c r="N1292" t="s">
        <v>21</v>
      </c>
      <c r="O1292">
        <v>0</v>
      </c>
    </row>
    <row r="1293" spans="1:15" x14ac:dyDescent="0.35">
      <c r="A1293">
        <v>1292</v>
      </c>
      <c r="B1293" t="s">
        <v>26</v>
      </c>
      <c r="C1293" t="s">
        <v>19</v>
      </c>
      <c r="D1293" s="1">
        <v>45396</v>
      </c>
      <c r="E1293" t="s">
        <v>20</v>
      </c>
      <c r="F1293">
        <v>12</v>
      </c>
      <c r="G1293">
        <v>82</v>
      </c>
      <c r="H1293">
        <v>11</v>
      </c>
      <c r="I1293">
        <v>1173</v>
      </c>
      <c r="J1293">
        <v>538</v>
      </c>
      <c r="K1293">
        <v>238</v>
      </c>
      <c r="L1293">
        <v>313</v>
      </c>
      <c r="M1293">
        <v>1.92838874680306</v>
      </c>
      <c r="N1293" t="s">
        <v>21</v>
      </c>
      <c r="O1293">
        <v>0</v>
      </c>
    </row>
    <row r="1294" spans="1:15" x14ac:dyDescent="0.35">
      <c r="A1294">
        <v>1293</v>
      </c>
      <c r="B1294" t="s">
        <v>22</v>
      </c>
      <c r="C1294" t="s">
        <v>16</v>
      </c>
      <c r="D1294" s="1">
        <v>45364</v>
      </c>
      <c r="E1294" t="s">
        <v>25</v>
      </c>
      <c r="F1294">
        <v>6</v>
      </c>
      <c r="G1294">
        <v>275</v>
      </c>
      <c r="H1294">
        <v>1</v>
      </c>
      <c r="I1294">
        <v>343</v>
      </c>
      <c r="J1294">
        <v>245</v>
      </c>
      <c r="K1294">
        <v>452</v>
      </c>
      <c r="L1294">
        <v>666</v>
      </c>
      <c r="M1294">
        <v>4.9737609329446002</v>
      </c>
      <c r="N1294" t="s">
        <v>18</v>
      </c>
      <c r="O1294">
        <v>0</v>
      </c>
    </row>
    <row r="1295" spans="1:15" x14ac:dyDescent="0.35">
      <c r="A1295">
        <v>1294</v>
      </c>
      <c r="B1295" t="s">
        <v>15</v>
      </c>
      <c r="C1295" t="s">
        <v>16</v>
      </c>
      <c r="D1295" s="1">
        <v>45430</v>
      </c>
      <c r="E1295" t="s">
        <v>28</v>
      </c>
      <c r="F1295">
        <v>14</v>
      </c>
      <c r="G1295">
        <v>216</v>
      </c>
      <c r="H1295">
        <v>15</v>
      </c>
      <c r="I1295">
        <v>2327</v>
      </c>
      <c r="J1295">
        <v>607</v>
      </c>
      <c r="K1295">
        <v>395</v>
      </c>
      <c r="L1295">
        <v>308</v>
      </c>
      <c r="M1295">
        <v>1.56295659647614</v>
      </c>
      <c r="N1295" t="s">
        <v>23</v>
      </c>
      <c r="O1295">
        <v>0</v>
      </c>
    </row>
    <row r="1296" spans="1:15" x14ac:dyDescent="0.35">
      <c r="A1296">
        <v>1295</v>
      </c>
      <c r="B1296" t="s">
        <v>15</v>
      </c>
      <c r="C1296" t="s">
        <v>16</v>
      </c>
      <c r="D1296" s="1">
        <v>45301</v>
      </c>
      <c r="E1296" t="s">
        <v>25</v>
      </c>
      <c r="F1296">
        <v>18</v>
      </c>
      <c r="G1296">
        <v>114</v>
      </c>
      <c r="H1296">
        <v>13</v>
      </c>
      <c r="I1296">
        <v>3184</v>
      </c>
      <c r="J1296">
        <v>398</v>
      </c>
      <c r="K1296">
        <v>456</v>
      </c>
      <c r="L1296">
        <v>46</v>
      </c>
      <c r="M1296">
        <v>1.28266331658291</v>
      </c>
      <c r="N1296" t="s">
        <v>23</v>
      </c>
      <c r="O1296">
        <v>0</v>
      </c>
    </row>
    <row r="1297" spans="1:15" x14ac:dyDescent="0.35">
      <c r="A1297">
        <v>1296</v>
      </c>
      <c r="B1297" t="s">
        <v>26</v>
      </c>
      <c r="C1297" t="s">
        <v>24</v>
      </c>
      <c r="D1297" s="1">
        <v>45564</v>
      </c>
      <c r="E1297" t="s">
        <v>20</v>
      </c>
      <c r="F1297">
        <v>6</v>
      </c>
      <c r="G1297">
        <v>192</v>
      </c>
      <c r="H1297">
        <v>8</v>
      </c>
      <c r="I1297">
        <v>478</v>
      </c>
      <c r="J1297">
        <v>681</v>
      </c>
      <c r="K1297">
        <v>314</v>
      </c>
      <c r="L1297">
        <v>33</v>
      </c>
      <c r="M1297">
        <v>3.1506276150627599</v>
      </c>
      <c r="N1297" t="s">
        <v>18</v>
      </c>
      <c r="O1297">
        <v>0</v>
      </c>
    </row>
    <row r="1298" spans="1:15" x14ac:dyDescent="0.35">
      <c r="A1298">
        <v>1297</v>
      </c>
      <c r="B1298" t="s">
        <v>26</v>
      </c>
      <c r="C1298" t="s">
        <v>19</v>
      </c>
      <c r="D1298" s="1">
        <v>45402</v>
      </c>
      <c r="E1298" t="s">
        <v>28</v>
      </c>
      <c r="F1298">
        <v>7</v>
      </c>
      <c r="G1298">
        <v>75</v>
      </c>
      <c r="H1298">
        <v>17</v>
      </c>
      <c r="I1298">
        <v>274</v>
      </c>
      <c r="J1298">
        <v>354</v>
      </c>
      <c r="K1298">
        <v>446</v>
      </c>
      <c r="L1298">
        <v>438</v>
      </c>
      <c r="M1298">
        <v>5.5182481751824799</v>
      </c>
      <c r="N1298" t="s">
        <v>18</v>
      </c>
      <c r="O1298">
        <v>0</v>
      </c>
    </row>
    <row r="1299" spans="1:15" x14ac:dyDescent="0.35">
      <c r="A1299">
        <v>1298</v>
      </c>
      <c r="B1299" t="s">
        <v>26</v>
      </c>
      <c r="C1299" t="s">
        <v>19</v>
      </c>
      <c r="D1299" s="1">
        <v>45490</v>
      </c>
      <c r="E1299" t="s">
        <v>25</v>
      </c>
      <c r="F1299">
        <v>22</v>
      </c>
      <c r="G1299">
        <v>153</v>
      </c>
      <c r="H1299">
        <v>5</v>
      </c>
      <c r="I1299">
        <v>2404</v>
      </c>
      <c r="J1299">
        <v>552</v>
      </c>
      <c r="K1299">
        <v>476</v>
      </c>
      <c r="L1299">
        <v>435</v>
      </c>
      <c r="M1299">
        <v>1.6085690515806901</v>
      </c>
      <c r="N1299" t="s">
        <v>21</v>
      </c>
      <c r="O1299">
        <v>0</v>
      </c>
    </row>
    <row r="1300" spans="1:15" x14ac:dyDescent="0.35">
      <c r="A1300">
        <v>1299</v>
      </c>
      <c r="B1300" t="s">
        <v>15</v>
      </c>
      <c r="C1300" t="s">
        <v>24</v>
      </c>
      <c r="D1300" s="1">
        <v>45487</v>
      </c>
      <c r="E1300" t="s">
        <v>20</v>
      </c>
      <c r="F1300">
        <v>14</v>
      </c>
      <c r="G1300">
        <v>63</v>
      </c>
      <c r="H1300">
        <v>7</v>
      </c>
      <c r="I1300">
        <v>3878</v>
      </c>
      <c r="J1300">
        <v>768</v>
      </c>
      <c r="K1300">
        <v>245</v>
      </c>
      <c r="L1300">
        <v>136</v>
      </c>
      <c r="M1300">
        <v>1.2962867457452201</v>
      </c>
      <c r="N1300" t="s">
        <v>23</v>
      </c>
      <c r="O1300">
        <v>0</v>
      </c>
    </row>
    <row r="1301" spans="1:15" x14ac:dyDescent="0.35">
      <c r="A1301">
        <v>1300</v>
      </c>
      <c r="B1301" t="s">
        <v>15</v>
      </c>
      <c r="C1301" t="s">
        <v>19</v>
      </c>
      <c r="D1301" s="1">
        <v>45569</v>
      </c>
      <c r="E1301" t="s">
        <v>30</v>
      </c>
      <c r="F1301">
        <v>14</v>
      </c>
      <c r="G1301">
        <v>205</v>
      </c>
      <c r="H1301">
        <v>8</v>
      </c>
      <c r="I1301">
        <v>2473</v>
      </c>
      <c r="J1301">
        <v>350</v>
      </c>
      <c r="K1301">
        <v>586</v>
      </c>
      <c r="L1301">
        <v>405</v>
      </c>
      <c r="M1301">
        <v>1.5422563687828501</v>
      </c>
      <c r="N1301" t="s">
        <v>23</v>
      </c>
      <c r="O1301">
        <v>0</v>
      </c>
    </row>
    <row r="1302" spans="1:15" x14ac:dyDescent="0.35">
      <c r="A1302">
        <v>1301</v>
      </c>
      <c r="B1302" t="s">
        <v>26</v>
      </c>
      <c r="C1302" t="s">
        <v>24</v>
      </c>
      <c r="D1302" s="1">
        <v>45420</v>
      </c>
      <c r="E1302" t="s">
        <v>25</v>
      </c>
      <c r="F1302">
        <v>14</v>
      </c>
      <c r="G1302">
        <v>111</v>
      </c>
      <c r="H1302">
        <v>14</v>
      </c>
      <c r="I1302">
        <v>151</v>
      </c>
      <c r="J1302">
        <v>132</v>
      </c>
      <c r="K1302">
        <v>316</v>
      </c>
      <c r="L1302">
        <v>583</v>
      </c>
      <c r="M1302">
        <v>7.8278145695364199</v>
      </c>
      <c r="N1302" t="s">
        <v>18</v>
      </c>
      <c r="O1302">
        <v>0</v>
      </c>
    </row>
    <row r="1303" spans="1:15" x14ac:dyDescent="0.35">
      <c r="A1303">
        <v>1302</v>
      </c>
      <c r="B1303" t="s">
        <v>15</v>
      </c>
      <c r="C1303" t="s">
        <v>24</v>
      </c>
      <c r="D1303" s="1">
        <v>45528</v>
      </c>
      <c r="E1303" t="s">
        <v>28</v>
      </c>
      <c r="F1303">
        <v>21</v>
      </c>
      <c r="G1303">
        <v>131</v>
      </c>
      <c r="H1303">
        <v>13</v>
      </c>
      <c r="I1303">
        <v>191</v>
      </c>
      <c r="J1303">
        <v>455</v>
      </c>
      <c r="K1303">
        <v>11</v>
      </c>
      <c r="L1303">
        <v>478</v>
      </c>
      <c r="M1303">
        <v>5.9424083769633498</v>
      </c>
      <c r="N1303" t="s">
        <v>18</v>
      </c>
      <c r="O1303">
        <v>0</v>
      </c>
    </row>
    <row r="1304" spans="1:15" x14ac:dyDescent="0.35">
      <c r="A1304">
        <v>1303</v>
      </c>
      <c r="B1304" t="s">
        <v>26</v>
      </c>
      <c r="C1304" t="s">
        <v>24</v>
      </c>
      <c r="D1304" s="1">
        <v>45321</v>
      </c>
      <c r="E1304" t="s">
        <v>17</v>
      </c>
      <c r="F1304">
        <v>8</v>
      </c>
      <c r="G1304">
        <v>245</v>
      </c>
      <c r="H1304">
        <v>5</v>
      </c>
      <c r="I1304">
        <v>4797</v>
      </c>
      <c r="J1304">
        <v>86</v>
      </c>
      <c r="K1304">
        <v>285</v>
      </c>
      <c r="L1304">
        <v>625</v>
      </c>
      <c r="M1304">
        <v>1.2076297686053701</v>
      </c>
      <c r="N1304" t="s">
        <v>23</v>
      </c>
      <c r="O1304">
        <v>0</v>
      </c>
    </row>
    <row r="1305" spans="1:15" x14ac:dyDescent="0.35">
      <c r="A1305">
        <v>1304</v>
      </c>
      <c r="B1305" t="s">
        <v>15</v>
      </c>
      <c r="C1305" t="s">
        <v>19</v>
      </c>
      <c r="D1305" s="1">
        <v>45424</v>
      </c>
      <c r="E1305" t="s">
        <v>20</v>
      </c>
      <c r="F1305">
        <v>11</v>
      </c>
      <c r="G1305">
        <v>95</v>
      </c>
      <c r="H1305">
        <v>19</v>
      </c>
      <c r="I1305">
        <v>2312</v>
      </c>
      <c r="J1305">
        <v>270</v>
      </c>
      <c r="K1305">
        <v>508</v>
      </c>
      <c r="L1305">
        <v>131</v>
      </c>
      <c r="M1305">
        <v>1.3931660899653899</v>
      </c>
      <c r="N1305" t="s">
        <v>23</v>
      </c>
      <c r="O1305">
        <v>0</v>
      </c>
    </row>
    <row r="1306" spans="1:15" x14ac:dyDescent="0.35">
      <c r="A1306">
        <v>1305</v>
      </c>
      <c r="B1306" t="s">
        <v>26</v>
      </c>
      <c r="C1306" t="s">
        <v>19</v>
      </c>
      <c r="D1306" s="1">
        <v>45317</v>
      </c>
      <c r="E1306" t="s">
        <v>30</v>
      </c>
      <c r="F1306">
        <v>20</v>
      </c>
      <c r="G1306">
        <v>182</v>
      </c>
      <c r="H1306">
        <v>1</v>
      </c>
      <c r="I1306">
        <v>1956</v>
      </c>
      <c r="J1306">
        <v>122</v>
      </c>
      <c r="K1306">
        <v>41</v>
      </c>
      <c r="L1306">
        <v>189</v>
      </c>
      <c r="M1306">
        <v>1.17995910020449</v>
      </c>
      <c r="N1306" t="s">
        <v>23</v>
      </c>
      <c r="O1306">
        <v>0</v>
      </c>
    </row>
    <row r="1307" spans="1:15" x14ac:dyDescent="0.35">
      <c r="A1307">
        <v>1306</v>
      </c>
      <c r="B1307" t="s">
        <v>15</v>
      </c>
      <c r="C1307" t="s">
        <v>19</v>
      </c>
      <c r="D1307" s="1">
        <v>45575</v>
      </c>
      <c r="E1307" t="s">
        <v>27</v>
      </c>
      <c r="F1307">
        <v>17</v>
      </c>
      <c r="G1307">
        <v>296</v>
      </c>
      <c r="H1307">
        <v>1</v>
      </c>
      <c r="I1307">
        <v>1917</v>
      </c>
      <c r="J1307">
        <v>67</v>
      </c>
      <c r="K1307">
        <v>267</v>
      </c>
      <c r="L1307">
        <v>264</v>
      </c>
      <c r="M1307">
        <v>1.31194574856546</v>
      </c>
      <c r="N1307" t="s">
        <v>23</v>
      </c>
      <c r="O1307">
        <v>0</v>
      </c>
    </row>
    <row r="1308" spans="1:15" x14ac:dyDescent="0.35">
      <c r="A1308">
        <v>1307</v>
      </c>
      <c r="B1308" t="s">
        <v>22</v>
      </c>
      <c r="C1308" t="s">
        <v>16</v>
      </c>
      <c r="D1308" s="1">
        <v>45412</v>
      </c>
      <c r="E1308" t="s">
        <v>17</v>
      </c>
      <c r="F1308">
        <v>22</v>
      </c>
      <c r="G1308">
        <v>59</v>
      </c>
      <c r="H1308">
        <v>7</v>
      </c>
      <c r="I1308">
        <v>2914</v>
      </c>
      <c r="J1308">
        <v>116</v>
      </c>
      <c r="K1308">
        <v>81</v>
      </c>
      <c r="L1308">
        <v>520</v>
      </c>
      <c r="M1308">
        <v>1.2460535346602599</v>
      </c>
      <c r="N1308" t="s">
        <v>23</v>
      </c>
      <c r="O1308">
        <v>0</v>
      </c>
    </row>
    <row r="1309" spans="1:15" x14ac:dyDescent="0.35">
      <c r="A1309">
        <v>1308</v>
      </c>
      <c r="B1309" t="s">
        <v>22</v>
      </c>
      <c r="C1309" t="s">
        <v>16</v>
      </c>
      <c r="D1309" s="1">
        <v>45396</v>
      </c>
      <c r="E1309" t="s">
        <v>20</v>
      </c>
      <c r="F1309">
        <v>19</v>
      </c>
      <c r="G1309">
        <v>164</v>
      </c>
      <c r="H1309">
        <v>4</v>
      </c>
      <c r="I1309">
        <v>2718</v>
      </c>
      <c r="J1309">
        <v>589</v>
      </c>
      <c r="K1309">
        <v>382</v>
      </c>
      <c r="L1309">
        <v>698</v>
      </c>
      <c r="M1309">
        <v>1.6140544518027899</v>
      </c>
      <c r="N1309" t="s">
        <v>21</v>
      </c>
      <c r="O1309">
        <v>0</v>
      </c>
    </row>
    <row r="1310" spans="1:15" x14ac:dyDescent="0.35">
      <c r="A1310">
        <v>1309</v>
      </c>
      <c r="B1310" t="s">
        <v>22</v>
      </c>
      <c r="C1310" t="s">
        <v>19</v>
      </c>
      <c r="D1310" s="1">
        <v>45304</v>
      </c>
      <c r="E1310" t="s">
        <v>28</v>
      </c>
      <c r="F1310">
        <v>17</v>
      </c>
      <c r="G1310">
        <v>260</v>
      </c>
      <c r="H1310">
        <v>9</v>
      </c>
      <c r="I1310">
        <v>2725</v>
      </c>
      <c r="J1310">
        <v>626</v>
      </c>
      <c r="K1310">
        <v>370</v>
      </c>
      <c r="L1310">
        <v>344</v>
      </c>
      <c r="M1310">
        <v>1.49174311926605</v>
      </c>
      <c r="N1310" t="s">
        <v>23</v>
      </c>
      <c r="O1310">
        <v>0</v>
      </c>
    </row>
    <row r="1311" spans="1:15" x14ac:dyDescent="0.35">
      <c r="A1311">
        <v>1310</v>
      </c>
      <c r="B1311" t="s">
        <v>15</v>
      </c>
      <c r="C1311" t="s">
        <v>19</v>
      </c>
      <c r="D1311" s="1">
        <v>45307</v>
      </c>
      <c r="E1311" t="s">
        <v>17</v>
      </c>
      <c r="F1311">
        <v>6</v>
      </c>
      <c r="G1311">
        <v>74</v>
      </c>
      <c r="H1311">
        <v>19</v>
      </c>
      <c r="I1311">
        <v>1363</v>
      </c>
      <c r="J1311">
        <v>382</v>
      </c>
      <c r="K1311">
        <v>47</v>
      </c>
      <c r="L1311">
        <v>298</v>
      </c>
      <c r="M1311">
        <v>1.5333822450476799</v>
      </c>
      <c r="N1311" t="s">
        <v>23</v>
      </c>
      <c r="O1311">
        <v>0</v>
      </c>
    </row>
    <row r="1312" spans="1:15" x14ac:dyDescent="0.35">
      <c r="A1312">
        <v>1311</v>
      </c>
      <c r="B1312" t="s">
        <v>26</v>
      </c>
      <c r="C1312" t="s">
        <v>24</v>
      </c>
      <c r="D1312" s="1">
        <v>45400</v>
      </c>
      <c r="E1312" t="s">
        <v>27</v>
      </c>
      <c r="F1312">
        <v>12</v>
      </c>
      <c r="G1312">
        <v>213</v>
      </c>
      <c r="H1312">
        <v>18</v>
      </c>
      <c r="I1312">
        <v>2614</v>
      </c>
      <c r="J1312">
        <v>528</v>
      </c>
      <c r="K1312">
        <v>522</v>
      </c>
      <c r="L1312">
        <v>596</v>
      </c>
      <c r="M1312">
        <v>1.6296863045141501</v>
      </c>
      <c r="N1312" t="s">
        <v>21</v>
      </c>
      <c r="O1312">
        <v>0</v>
      </c>
    </row>
    <row r="1313" spans="1:15" x14ac:dyDescent="0.35">
      <c r="A1313">
        <v>1312</v>
      </c>
      <c r="B1313" t="s">
        <v>15</v>
      </c>
      <c r="C1313" t="s">
        <v>19</v>
      </c>
      <c r="D1313" s="1">
        <v>45308</v>
      </c>
      <c r="E1313" t="s">
        <v>25</v>
      </c>
      <c r="F1313">
        <v>22</v>
      </c>
      <c r="G1313">
        <v>300</v>
      </c>
      <c r="H1313">
        <v>13</v>
      </c>
      <c r="I1313">
        <v>1279</v>
      </c>
      <c r="J1313">
        <v>395</v>
      </c>
      <c r="K1313">
        <v>82</v>
      </c>
      <c r="L1313">
        <v>80</v>
      </c>
      <c r="M1313">
        <v>1.4354964816262701</v>
      </c>
      <c r="N1313" t="s">
        <v>23</v>
      </c>
      <c r="O1313">
        <v>0</v>
      </c>
    </row>
    <row r="1314" spans="1:15" x14ac:dyDescent="0.35">
      <c r="A1314">
        <v>1313</v>
      </c>
      <c r="B1314" t="s">
        <v>22</v>
      </c>
      <c r="C1314" t="s">
        <v>19</v>
      </c>
      <c r="D1314" s="1">
        <v>45567</v>
      </c>
      <c r="E1314" t="s">
        <v>25</v>
      </c>
      <c r="F1314">
        <v>22</v>
      </c>
      <c r="G1314">
        <v>286</v>
      </c>
      <c r="H1314">
        <v>14</v>
      </c>
      <c r="I1314">
        <v>1043</v>
      </c>
      <c r="J1314">
        <v>545</v>
      </c>
      <c r="K1314">
        <v>54</v>
      </c>
      <c r="L1314">
        <v>622</v>
      </c>
      <c r="M1314">
        <v>2.1706615532118798</v>
      </c>
      <c r="N1314" t="s">
        <v>21</v>
      </c>
      <c r="O1314">
        <v>0</v>
      </c>
    </row>
    <row r="1315" spans="1:15" x14ac:dyDescent="0.35">
      <c r="A1315">
        <v>1314</v>
      </c>
      <c r="B1315" t="s">
        <v>15</v>
      </c>
      <c r="C1315" t="s">
        <v>24</v>
      </c>
      <c r="D1315" s="1">
        <v>45454</v>
      </c>
      <c r="E1315" t="s">
        <v>17</v>
      </c>
      <c r="F1315">
        <v>13</v>
      </c>
      <c r="G1315">
        <v>205</v>
      </c>
      <c r="H1315">
        <v>7</v>
      </c>
      <c r="I1315">
        <v>2255</v>
      </c>
      <c r="J1315">
        <v>204</v>
      </c>
      <c r="K1315">
        <v>591</v>
      </c>
      <c r="L1315">
        <v>301</v>
      </c>
      <c r="M1315">
        <v>1.4860310421286</v>
      </c>
      <c r="N1315" t="s">
        <v>23</v>
      </c>
      <c r="O1315">
        <v>0</v>
      </c>
    </row>
    <row r="1316" spans="1:15" x14ac:dyDescent="0.35">
      <c r="A1316">
        <v>1315</v>
      </c>
      <c r="B1316" t="s">
        <v>22</v>
      </c>
      <c r="C1316" t="s">
        <v>19</v>
      </c>
      <c r="D1316" s="1">
        <v>45525</v>
      </c>
      <c r="E1316" t="s">
        <v>25</v>
      </c>
      <c r="F1316">
        <v>19</v>
      </c>
      <c r="G1316">
        <v>205</v>
      </c>
      <c r="H1316">
        <v>2</v>
      </c>
      <c r="I1316">
        <v>2628</v>
      </c>
      <c r="J1316">
        <v>771</v>
      </c>
      <c r="K1316">
        <v>120</v>
      </c>
      <c r="L1316">
        <v>247</v>
      </c>
      <c r="M1316">
        <v>1.4330289193302801</v>
      </c>
      <c r="N1316" t="s">
        <v>23</v>
      </c>
      <c r="O1316">
        <v>0</v>
      </c>
    </row>
    <row r="1317" spans="1:15" x14ac:dyDescent="0.35">
      <c r="A1317">
        <v>1316</v>
      </c>
      <c r="B1317" t="s">
        <v>26</v>
      </c>
      <c r="C1317" t="s">
        <v>24</v>
      </c>
      <c r="D1317" s="1">
        <v>45472</v>
      </c>
      <c r="E1317" t="s">
        <v>28</v>
      </c>
      <c r="F1317">
        <v>13</v>
      </c>
      <c r="G1317">
        <v>249</v>
      </c>
      <c r="H1317">
        <v>13</v>
      </c>
      <c r="I1317">
        <v>4641</v>
      </c>
      <c r="J1317">
        <v>522</v>
      </c>
      <c r="K1317">
        <v>80</v>
      </c>
      <c r="L1317">
        <v>371</v>
      </c>
      <c r="M1317">
        <v>1.20965309200603</v>
      </c>
      <c r="N1317" t="s">
        <v>23</v>
      </c>
      <c r="O1317">
        <v>0</v>
      </c>
    </row>
    <row r="1318" spans="1:15" x14ac:dyDescent="0.35">
      <c r="A1318">
        <v>1317</v>
      </c>
      <c r="B1318" t="s">
        <v>22</v>
      </c>
      <c r="C1318" t="s">
        <v>19</v>
      </c>
      <c r="D1318" s="1">
        <v>45409</v>
      </c>
      <c r="E1318" t="s">
        <v>28</v>
      </c>
      <c r="F1318">
        <v>10</v>
      </c>
      <c r="G1318">
        <v>153</v>
      </c>
      <c r="H1318">
        <v>9</v>
      </c>
      <c r="I1318">
        <v>4714</v>
      </c>
      <c r="J1318">
        <v>133</v>
      </c>
      <c r="K1318">
        <v>552</v>
      </c>
      <c r="L1318">
        <v>251</v>
      </c>
      <c r="M1318">
        <v>1.19855748833262</v>
      </c>
      <c r="N1318" t="s">
        <v>23</v>
      </c>
      <c r="O1318">
        <v>0</v>
      </c>
    </row>
    <row r="1319" spans="1:15" x14ac:dyDescent="0.35">
      <c r="A1319">
        <v>1318</v>
      </c>
      <c r="B1319" t="s">
        <v>22</v>
      </c>
      <c r="C1319" t="s">
        <v>19</v>
      </c>
      <c r="D1319" s="1">
        <v>45466</v>
      </c>
      <c r="E1319" t="s">
        <v>20</v>
      </c>
      <c r="F1319">
        <v>10</v>
      </c>
      <c r="G1319">
        <v>273</v>
      </c>
      <c r="H1319">
        <v>20</v>
      </c>
      <c r="I1319">
        <v>2621</v>
      </c>
      <c r="J1319">
        <v>125</v>
      </c>
      <c r="K1319">
        <v>85</v>
      </c>
      <c r="L1319">
        <v>419</v>
      </c>
      <c r="M1319">
        <v>1.2399847386493701</v>
      </c>
      <c r="N1319" t="s">
        <v>23</v>
      </c>
      <c r="O1319">
        <v>0</v>
      </c>
    </row>
    <row r="1320" spans="1:15" x14ac:dyDescent="0.35">
      <c r="A1320">
        <v>1319</v>
      </c>
      <c r="B1320" t="s">
        <v>15</v>
      </c>
      <c r="C1320" t="s">
        <v>24</v>
      </c>
      <c r="D1320" s="1">
        <v>45393</v>
      </c>
      <c r="E1320" t="s">
        <v>27</v>
      </c>
      <c r="F1320">
        <v>14</v>
      </c>
      <c r="G1320">
        <v>260</v>
      </c>
      <c r="H1320">
        <v>3</v>
      </c>
      <c r="I1320">
        <v>1523</v>
      </c>
      <c r="J1320">
        <v>469</v>
      </c>
      <c r="K1320">
        <v>17</v>
      </c>
      <c r="L1320">
        <v>171</v>
      </c>
      <c r="M1320">
        <v>1.43138542350623</v>
      </c>
      <c r="N1320" t="s">
        <v>23</v>
      </c>
      <c r="O1320">
        <v>0</v>
      </c>
    </row>
    <row r="1321" spans="1:15" x14ac:dyDescent="0.35">
      <c r="A1321">
        <v>1320</v>
      </c>
      <c r="B1321" t="s">
        <v>15</v>
      </c>
      <c r="C1321" t="s">
        <v>16</v>
      </c>
      <c r="D1321" s="1">
        <v>45356</v>
      </c>
      <c r="E1321" t="s">
        <v>17</v>
      </c>
      <c r="F1321">
        <v>22</v>
      </c>
      <c r="G1321">
        <v>291</v>
      </c>
      <c r="H1321">
        <v>12</v>
      </c>
      <c r="I1321">
        <v>329</v>
      </c>
      <c r="J1321">
        <v>446</v>
      </c>
      <c r="K1321">
        <v>26</v>
      </c>
      <c r="L1321">
        <v>171</v>
      </c>
      <c r="M1321">
        <v>2.9544072948328202</v>
      </c>
      <c r="N1321" t="s">
        <v>18</v>
      </c>
      <c r="O1321">
        <v>0</v>
      </c>
    </row>
    <row r="1322" spans="1:15" x14ac:dyDescent="0.35">
      <c r="A1322">
        <v>1321</v>
      </c>
      <c r="B1322" t="s">
        <v>15</v>
      </c>
      <c r="C1322" t="s">
        <v>19</v>
      </c>
      <c r="D1322" s="1">
        <v>45508</v>
      </c>
      <c r="E1322" t="s">
        <v>20</v>
      </c>
      <c r="F1322">
        <v>15</v>
      </c>
      <c r="G1322">
        <v>80</v>
      </c>
      <c r="H1322">
        <v>10</v>
      </c>
      <c r="I1322">
        <v>2952</v>
      </c>
      <c r="J1322">
        <v>135</v>
      </c>
      <c r="K1322">
        <v>413</v>
      </c>
      <c r="L1322">
        <v>571</v>
      </c>
      <c r="M1322">
        <v>1.3790650406503999</v>
      </c>
      <c r="N1322" t="s">
        <v>23</v>
      </c>
      <c r="O1322">
        <v>0</v>
      </c>
    </row>
    <row r="1323" spans="1:15" x14ac:dyDescent="0.35">
      <c r="A1323">
        <v>1322</v>
      </c>
      <c r="B1323" t="s">
        <v>15</v>
      </c>
      <c r="C1323" t="s">
        <v>19</v>
      </c>
      <c r="D1323" s="1">
        <v>45464</v>
      </c>
      <c r="E1323" t="s">
        <v>30</v>
      </c>
      <c r="F1323">
        <v>17</v>
      </c>
      <c r="G1323">
        <v>249</v>
      </c>
      <c r="H1323">
        <v>13</v>
      </c>
      <c r="I1323">
        <v>4895</v>
      </c>
      <c r="J1323">
        <v>628</v>
      </c>
      <c r="K1323">
        <v>112</v>
      </c>
      <c r="L1323">
        <v>47</v>
      </c>
      <c r="M1323">
        <v>1.16077630234933</v>
      </c>
      <c r="N1323" t="s">
        <v>23</v>
      </c>
      <c r="O1323">
        <v>0</v>
      </c>
    </row>
    <row r="1324" spans="1:15" x14ac:dyDescent="0.35">
      <c r="A1324">
        <v>1323</v>
      </c>
      <c r="B1324" t="s">
        <v>26</v>
      </c>
      <c r="C1324" t="s">
        <v>16</v>
      </c>
      <c r="D1324" s="1">
        <v>45522</v>
      </c>
      <c r="E1324" t="s">
        <v>20</v>
      </c>
      <c r="F1324">
        <v>22</v>
      </c>
      <c r="G1324">
        <v>62</v>
      </c>
      <c r="H1324">
        <v>4</v>
      </c>
      <c r="I1324">
        <v>3619</v>
      </c>
      <c r="J1324">
        <v>301</v>
      </c>
      <c r="K1324">
        <v>490</v>
      </c>
      <c r="L1324">
        <v>138</v>
      </c>
      <c r="M1324">
        <v>1.25670074606244</v>
      </c>
      <c r="N1324" t="s">
        <v>23</v>
      </c>
      <c r="O1324">
        <v>0</v>
      </c>
    </row>
    <row r="1325" spans="1:15" x14ac:dyDescent="0.35">
      <c r="A1325">
        <v>1324</v>
      </c>
      <c r="B1325" t="s">
        <v>26</v>
      </c>
      <c r="C1325" t="s">
        <v>24</v>
      </c>
      <c r="D1325" s="1">
        <v>45295</v>
      </c>
      <c r="E1325" t="s">
        <v>27</v>
      </c>
      <c r="F1325">
        <v>18</v>
      </c>
      <c r="G1325">
        <v>184</v>
      </c>
      <c r="H1325">
        <v>14</v>
      </c>
      <c r="I1325">
        <v>4912</v>
      </c>
      <c r="J1325">
        <v>612</v>
      </c>
      <c r="K1325">
        <v>380</v>
      </c>
      <c r="L1325">
        <v>691</v>
      </c>
      <c r="M1325">
        <v>1.3426302931595999</v>
      </c>
      <c r="N1325" t="s">
        <v>23</v>
      </c>
      <c r="O1325">
        <v>0</v>
      </c>
    </row>
    <row r="1326" spans="1:15" x14ac:dyDescent="0.35">
      <c r="A1326">
        <v>1325</v>
      </c>
      <c r="B1326" t="s">
        <v>15</v>
      </c>
      <c r="C1326" t="s">
        <v>24</v>
      </c>
      <c r="D1326" s="1">
        <v>45382</v>
      </c>
      <c r="E1326" t="s">
        <v>20</v>
      </c>
      <c r="F1326">
        <v>21</v>
      </c>
      <c r="G1326">
        <v>194</v>
      </c>
      <c r="H1326">
        <v>1</v>
      </c>
      <c r="I1326">
        <v>4217</v>
      </c>
      <c r="J1326">
        <v>744</v>
      </c>
      <c r="K1326">
        <v>288</v>
      </c>
      <c r="L1326">
        <v>100</v>
      </c>
      <c r="M1326">
        <v>1.2684372776855499</v>
      </c>
      <c r="N1326" t="s">
        <v>23</v>
      </c>
      <c r="O1326">
        <v>0</v>
      </c>
    </row>
    <row r="1327" spans="1:15" x14ac:dyDescent="0.35">
      <c r="A1327">
        <v>1326</v>
      </c>
      <c r="B1327" t="s">
        <v>22</v>
      </c>
      <c r="C1327" t="s">
        <v>24</v>
      </c>
      <c r="D1327" s="1">
        <v>45580</v>
      </c>
      <c r="E1327" t="s">
        <v>17</v>
      </c>
      <c r="F1327">
        <v>16</v>
      </c>
      <c r="G1327">
        <v>216</v>
      </c>
      <c r="H1327">
        <v>10</v>
      </c>
      <c r="I1327">
        <v>4290</v>
      </c>
      <c r="J1327">
        <v>542</v>
      </c>
      <c r="K1327">
        <v>595</v>
      </c>
      <c r="L1327">
        <v>521</v>
      </c>
      <c r="M1327">
        <v>1.3864801864801799</v>
      </c>
      <c r="N1327" t="s">
        <v>23</v>
      </c>
      <c r="O1327">
        <v>0</v>
      </c>
    </row>
    <row r="1328" spans="1:15" x14ac:dyDescent="0.35">
      <c r="A1328">
        <v>1327</v>
      </c>
      <c r="B1328" t="s">
        <v>26</v>
      </c>
      <c r="C1328" t="s">
        <v>24</v>
      </c>
      <c r="D1328" s="1">
        <v>45383</v>
      </c>
      <c r="E1328" t="s">
        <v>29</v>
      </c>
      <c r="F1328">
        <v>16</v>
      </c>
      <c r="G1328">
        <v>70</v>
      </c>
      <c r="H1328">
        <v>11</v>
      </c>
      <c r="I1328">
        <v>1223</v>
      </c>
      <c r="J1328">
        <v>47</v>
      </c>
      <c r="K1328">
        <v>217</v>
      </c>
      <c r="L1328">
        <v>441</v>
      </c>
      <c r="M1328">
        <v>1.57645134914145</v>
      </c>
      <c r="N1328" t="s">
        <v>23</v>
      </c>
      <c r="O1328">
        <v>0</v>
      </c>
    </row>
    <row r="1329" spans="1:15" x14ac:dyDescent="0.35">
      <c r="A1329">
        <v>1328</v>
      </c>
      <c r="B1329" t="s">
        <v>22</v>
      </c>
      <c r="C1329" t="s">
        <v>24</v>
      </c>
      <c r="D1329" s="1">
        <v>45437</v>
      </c>
      <c r="E1329" t="s">
        <v>28</v>
      </c>
      <c r="F1329">
        <v>13</v>
      </c>
      <c r="G1329">
        <v>106</v>
      </c>
      <c r="H1329">
        <v>9</v>
      </c>
      <c r="I1329">
        <v>1406</v>
      </c>
      <c r="J1329">
        <v>126</v>
      </c>
      <c r="K1329">
        <v>296</v>
      </c>
      <c r="L1329">
        <v>281</v>
      </c>
      <c r="M1329">
        <v>1.5</v>
      </c>
      <c r="N1329" t="s">
        <v>23</v>
      </c>
      <c r="O1329">
        <v>0</v>
      </c>
    </row>
    <row r="1330" spans="1:15" x14ac:dyDescent="0.35">
      <c r="A1330">
        <v>1329</v>
      </c>
      <c r="B1330" t="s">
        <v>15</v>
      </c>
      <c r="C1330" t="s">
        <v>16</v>
      </c>
      <c r="D1330" s="1">
        <v>45424</v>
      </c>
      <c r="E1330" t="s">
        <v>20</v>
      </c>
      <c r="F1330">
        <v>23</v>
      </c>
      <c r="G1330">
        <v>280</v>
      </c>
      <c r="H1330">
        <v>5</v>
      </c>
      <c r="I1330">
        <v>919</v>
      </c>
      <c r="J1330">
        <v>242</v>
      </c>
      <c r="K1330">
        <v>287</v>
      </c>
      <c r="L1330">
        <v>145</v>
      </c>
      <c r="M1330">
        <v>1.73340587595212</v>
      </c>
      <c r="N1330" t="s">
        <v>21</v>
      </c>
      <c r="O1330">
        <v>0</v>
      </c>
    </row>
    <row r="1331" spans="1:15" x14ac:dyDescent="0.35">
      <c r="A1331">
        <v>1330</v>
      </c>
      <c r="B1331" t="s">
        <v>15</v>
      </c>
      <c r="C1331" t="s">
        <v>16</v>
      </c>
      <c r="D1331" s="1">
        <v>45306</v>
      </c>
      <c r="E1331" t="s">
        <v>29</v>
      </c>
      <c r="F1331">
        <v>21</v>
      </c>
      <c r="G1331">
        <v>33</v>
      </c>
      <c r="H1331">
        <v>11</v>
      </c>
      <c r="I1331">
        <v>4952</v>
      </c>
      <c r="J1331">
        <v>45</v>
      </c>
      <c r="K1331">
        <v>554</v>
      </c>
      <c r="L1331">
        <v>551</v>
      </c>
      <c r="M1331">
        <v>1.23222940226171</v>
      </c>
      <c r="N1331" t="s">
        <v>23</v>
      </c>
      <c r="O1331">
        <v>0</v>
      </c>
    </row>
    <row r="1332" spans="1:15" x14ac:dyDescent="0.35">
      <c r="A1332">
        <v>1331</v>
      </c>
      <c r="B1332" t="s">
        <v>26</v>
      </c>
      <c r="C1332" t="s">
        <v>16</v>
      </c>
      <c r="D1332" s="1">
        <v>45396</v>
      </c>
      <c r="E1332" t="s">
        <v>20</v>
      </c>
      <c r="F1332">
        <v>20</v>
      </c>
      <c r="G1332">
        <v>171</v>
      </c>
      <c r="H1332">
        <v>3</v>
      </c>
      <c r="I1332">
        <v>2358</v>
      </c>
      <c r="J1332">
        <v>589</v>
      </c>
      <c r="K1332">
        <v>438</v>
      </c>
      <c r="L1332">
        <v>456</v>
      </c>
      <c r="M1332">
        <v>1.6289228159457101</v>
      </c>
      <c r="N1332" t="s">
        <v>21</v>
      </c>
      <c r="O1332">
        <v>0</v>
      </c>
    </row>
    <row r="1333" spans="1:15" x14ac:dyDescent="0.35">
      <c r="A1333">
        <v>1332</v>
      </c>
      <c r="B1333" t="s">
        <v>15</v>
      </c>
      <c r="C1333" t="s">
        <v>16</v>
      </c>
      <c r="D1333" s="1">
        <v>45353</v>
      </c>
      <c r="E1333" t="s">
        <v>28</v>
      </c>
      <c r="F1333">
        <v>14</v>
      </c>
      <c r="G1333">
        <v>79</v>
      </c>
      <c r="H1333">
        <v>11</v>
      </c>
      <c r="I1333">
        <v>3690</v>
      </c>
      <c r="J1333">
        <v>447</v>
      </c>
      <c r="K1333">
        <v>507</v>
      </c>
      <c r="L1333">
        <v>270</v>
      </c>
      <c r="M1333">
        <v>1.3317073170731699</v>
      </c>
      <c r="N1333" t="s">
        <v>23</v>
      </c>
      <c r="O1333">
        <v>0</v>
      </c>
    </row>
    <row r="1334" spans="1:15" x14ac:dyDescent="0.35">
      <c r="A1334">
        <v>1333</v>
      </c>
      <c r="B1334" t="s">
        <v>15</v>
      </c>
      <c r="C1334" t="s">
        <v>19</v>
      </c>
      <c r="D1334" s="1">
        <v>45332</v>
      </c>
      <c r="E1334" t="s">
        <v>28</v>
      </c>
      <c r="F1334">
        <v>16</v>
      </c>
      <c r="G1334">
        <v>161</v>
      </c>
      <c r="H1334">
        <v>14</v>
      </c>
      <c r="I1334">
        <v>1872</v>
      </c>
      <c r="J1334">
        <v>749</v>
      </c>
      <c r="K1334">
        <v>78</v>
      </c>
      <c r="L1334">
        <v>335</v>
      </c>
      <c r="M1334">
        <v>1.62072649572649</v>
      </c>
      <c r="N1334" t="s">
        <v>21</v>
      </c>
      <c r="O1334">
        <v>0</v>
      </c>
    </row>
    <row r="1335" spans="1:15" x14ac:dyDescent="0.35">
      <c r="A1335">
        <v>1334</v>
      </c>
      <c r="B1335" t="s">
        <v>22</v>
      </c>
      <c r="C1335" t="s">
        <v>16</v>
      </c>
      <c r="D1335" s="1">
        <v>45554</v>
      </c>
      <c r="E1335" t="s">
        <v>27</v>
      </c>
      <c r="F1335">
        <v>22</v>
      </c>
      <c r="G1335">
        <v>182</v>
      </c>
      <c r="H1335">
        <v>6</v>
      </c>
      <c r="I1335">
        <v>656</v>
      </c>
      <c r="J1335">
        <v>728</v>
      </c>
      <c r="K1335">
        <v>324</v>
      </c>
      <c r="L1335">
        <v>40</v>
      </c>
      <c r="M1335">
        <v>2.6646341463414598</v>
      </c>
      <c r="N1335" t="s">
        <v>18</v>
      </c>
      <c r="O1335">
        <v>0</v>
      </c>
    </row>
    <row r="1336" spans="1:15" x14ac:dyDescent="0.35">
      <c r="A1336">
        <v>1335</v>
      </c>
      <c r="B1336" t="s">
        <v>15</v>
      </c>
      <c r="C1336" t="s">
        <v>19</v>
      </c>
      <c r="D1336" s="1">
        <v>45577</v>
      </c>
      <c r="E1336" t="s">
        <v>28</v>
      </c>
      <c r="F1336">
        <v>18</v>
      </c>
      <c r="G1336">
        <v>132</v>
      </c>
      <c r="H1336">
        <v>6</v>
      </c>
      <c r="I1336">
        <v>341</v>
      </c>
      <c r="J1336">
        <v>654</v>
      </c>
      <c r="K1336">
        <v>10</v>
      </c>
      <c r="L1336">
        <v>252</v>
      </c>
      <c r="M1336">
        <v>3.6862170087976498</v>
      </c>
      <c r="N1336" t="s">
        <v>18</v>
      </c>
      <c r="O1336">
        <v>0</v>
      </c>
    </row>
    <row r="1337" spans="1:15" x14ac:dyDescent="0.35">
      <c r="A1337">
        <v>1336</v>
      </c>
      <c r="B1337" t="s">
        <v>26</v>
      </c>
      <c r="C1337" t="s">
        <v>24</v>
      </c>
      <c r="D1337" s="1">
        <v>45427</v>
      </c>
      <c r="E1337" t="s">
        <v>25</v>
      </c>
      <c r="F1337">
        <v>15</v>
      </c>
      <c r="G1337">
        <v>87</v>
      </c>
      <c r="H1337">
        <v>6</v>
      </c>
      <c r="I1337">
        <v>3901</v>
      </c>
      <c r="J1337">
        <v>160</v>
      </c>
      <c r="K1337">
        <v>498</v>
      </c>
      <c r="L1337">
        <v>192</v>
      </c>
      <c r="M1337">
        <v>1.21789284798769</v>
      </c>
      <c r="N1337" t="s">
        <v>23</v>
      </c>
      <c r="O1337">
        <v>0</v>
      </c>
    </row>
    <row r="1338" spans="1:15" x14ac:dyDescent="0.35">
      <c r="A1338">
        <v>1337</v>
      </c>
      <c r="B1338" t="s">
        <v>22</v>
      </c>
      <c r="C1338" t="s">
        <v>16</v>
      </c>
      <c r="D1338" s="1">
        <v>45337</v>
      </c>
      <c r="E1338" t="s">
        <v>27</v>
      </c>
      <c r="F1338">
        <v>21</v>
      </c>
      <c r="G1338">
        <v>126</v>
      </c>
      <c r="H1338">
        <v>5</v>
      </c>
      <c r="I1338">
        <v>4279</v>
      </c>
      <c r="J1338">
        <v>745</v>
      </c>
      <c r="K1338">
        <v>221</v>
      </c>
      <c r="L1338">
        <v>4</v>
      </c>
      <c r="M1338">
        <v>1.22668847861649</v>
      </c>
      <c r="N1338" t="s">
        <v>23</v>
      </c>
      <c r="O1338">
        <v>0</v>
      </c>
    </row>
    <row r="1339" spans="1:15" x14ac:dyDescent="0.35">
      <c r="A1339">
        <v>1338</v>
      </c>
      <c r="B1339" t="s">
        <v>22</v>
      </c>
      <c r="C1339" t="s">
        <v>19</v>
      </c>
      <c r="D1339" s="1">
        <v>45311</v>
      </c>
      <c r="E1339" t="s">
        <v>28</v>
      </c>
      <c r="F1339">
        <v>13</v>
      </c>
      <c r="G1339">
        <v>198</v>
      </c>
      <c r="H1339">
        <v>15</v>
      </c>
      <c r="I1339">
        <v>3475</v>
      </c>
      <c r="J1339">
        <v>709</v>
      </c>
      <c r="K1339">
        <v>271</v>
      </c>
      <c r="L1339">
        <v>629</v>
      </c>
      <c r="M1339">
        <v>1.46302158273381</v>
      </c>
      <c r="N1339" t="s">
        <v>23</v>
      </c>
      <c r="O1339">
        <v>0</v>
      </c>
    </row>
    <row r="1340" spans="1:15" x14ac:dyDescent="0.35">
      <c r="A1340">
        <v>1339</v>
      </c>
      <c r="B1340" t="s">
        <v>26</v>
      </c>
      <c r="C1340" t="s">
        <v>24</v>
      </c>
      <c r="D1340" s="1">
        <v>45563</v>
      </c>
      <c r="E1340" t="s">
        <v>28</v>
      </c>
      <c r="F1340">
        <v>21</v>
      </c>
      <c r="G1340">
        <v>220</v>
      </c>
      <c r="H1340">
        <v>19</v>
      </c>
      <c r="I1340">
        <v>1525</v>
      </c>
      <c r="J1340">
        <v>312</v>
      </c>
      <c r="K1340">
        <v>239</v>
      </c>
      <c r="L1340">
        <v>300</v>
      </c>
      <c r="M1340">
        <v>1.5580327868852399</v>
      </c>
      <c r="N1340" t="s">
        <v>23</v>
      </c>
      <c r="O1340">
        <v>0</v>
      </c>
    </row>
    <row r="1341" spans="1:15" x14ac:dyDescent="0.35">
      <c r="A1341">
        <v>1340</v>
      </c>
      <c r="B1341" t="s">
        <v>15</v>
      </c>
      <c r="C1341" t="s">
        <v>16</v>
      </c>
      <c r="D1341" s="1">
        <v>45474</v>
      </c>
      <c r="E1341" t="s">
        <v>29</v>
      </c>
      <c r="F1341">
        <v>15</v>
      </c>
      <c r="G1341">
        <v>234</v>
      </c>
      <c r="H1341">
        <v>14</v>
      </c>
      <c r="I1341">
        <v>4501</v>
      </c>
      <c r="J1341">
        <v>497</v>
      </c>
      <c r="K1341">
        <v>304</v>
      </c>
      <c r="L1341">
        <v>99</v>
      </c>
      <c r="M1341">
        <v>1.1999555654298999</v>
      </c>
      <c r="N1341" t="s">
        <v>23</v>
      </c>
      <c r="O1341">
        <v>0</v>
      </c>
    </row>
    <row r="1342" spans="1:15" x14ac:dyDescent="0.35">
      <c r="A1342">
        <v>1341</v>
      </c>
      <c r="B1342" t="s">
        <v>15</v>
      </c>
      <c r="C1342" t="s">
        <v>24</v>
      </c>
      <c r="D1342" s="1">
        <v>45458</v>
      </c>
      <c r="E1342" t="s">
        <v>28</v>
      </c>
      <c r="F1342">
        <v>16</v>
      </c>
      <c r="G1342">
        <v>78</v>
      </c>
      <c r="H1342">
        <v>11</v>
      </c>
      <c r="I1342">
        <v>2076</v>
      </c>
      <c r="J1342">
        <v>683</v>
      </c>
      <c r="K1342">
        <v>437</v>
      </c>
      <c r="L1342">
        <v>119</v>
      </c>
      <c r="M1342">
        <v>1.5968208092485501</v>
      </c>
      <c r="N1342" t="s">
        <v>23</v>
      </c>
      <c r="O1342">
        <v>0</v>
      </c>
    </row>
    <row r="1343" spans="1:15" x14ac:dyDescent="0.35">
      <c r="A1343">
        <v>1342</v>
      </c>
      <c r="B1343" t="s">
        <v>26</v>
      </c>
      <c r="C1343" t="s">
        <v>24</v>
      </c>
      <c r="D1343" s="1">
        <v>45495</v>
      </c>
      <c r="E1343" t="s">
        <v>29</v>
      </c>
      <c r="F1343">
        <v>13</v>
      </c>
      <c r="G1343">
        <v>34</v>
      </c>
      <c r="H1343">
        <v>9</v>
      </c>
      <c r="I1343">
        <v>1099</v>
      </c>
      <c r="J1343">
        <v>797</v>
      </c>
      <c r="K1343">
        <v>497</v>
      </c>
      <c r="L1343">
        <v>501</v>
      </c>
      <c r="M1343">
        <v>2.6333030027297499</v>
      </c>
      <c r="N1343" t="s">
        <v>18</v>
      </c>
      <c r="O1343">
        <v>0</v>
      </c>
    </row>
    <row r="1344" spans="1:15" x14ac:dyDescent="0.35">
      <c r="A1344">
        <v>1343</v>
      </c>
      <c r="B1344" t="s">
        <v>26</v>
      </c>
      <c r="C1344" t="s">
        <v>24</v>
      </c>
      <c r="D1344" s="1">
        <v>45429</v>
      </c>
      <c r="E1344" t="s">
        <v>30</v>
      </c>
      <c r="F1344">
        <v>14</v>
      </c>
      <c r="G1344">
        <v>182</v>
      </c>
      <c r="H1344">
        <v>13</v>
      </c>
      <c r="I1344">
        <v>4207</v>
      </c>
      <c r="J1344">
        <v>225</v>
      </c>
      <c r="K1344">
        <v>420</v>
      </c>
      <c r="L1344">
        <v>63</v>
      </c>
      <c r="M1344">
        <v>1.1682909436653099</v>
      </c>
      <c r="N1344" t="s">
        <v>23</v>
      </c>
      <c r="O1344">
        <v>0</v>
      </c>
    </row>
    <row r="1345" spans="1:15" x14ac:dyDescent="0.35">
      <c r="A1345">
        <v>1344</v>
      </c>
      <c r="B1345" t="s">
        <v>15</v>
      </c>
      <c r="C1345" t="s">
        <v>24</v>
      </c>
      <c r="D1345" s="1">
        <v>45492</v>
      </c>
      <c r="E1345" t="s">
        <v>30</v>
      </c>
      <c r="F1345">
        <v>21</v>
      </c>
      <c r="G1345">
        <v>132</v>
      </c>
      <c r="H1345">
        <v>10</v>
      </c>
      <c r="I1345">
        <v>3670</v>
      </c>
      <c r="J1345">
        <v>440</v>
      </c>
      <c r="K1345">
        <v>410</v>
      </c>
      <c r="L1345">
        <v>267</v>
      </c>
      <c r="M1345">
        <v>1.3043596730245199</v>
      </c>
      <c r="N1345" t="s">
        <v>23</v>
      </c>
      <c r="O1345">
        <v>0</v>
      </c>
    </row>
    <row r="1346" spans="1:15" x14ac:dyDescent="0.35">
      <c r="A1346">
        <v>1345</v>
      </c>
      <c r="B1346" t="s">
        <v>26</v>
      </c>
      <c r="C1346" t="s">
        <v>16</v>
      </c>
      <c r="D1346" s="1">
        <v>45315</v>
      </c>
      <c r="E1346" t="s">
        <v>25</v>
      </c>
      <c r="F1346">
        <v>23</v>
      </c>
      <c r="G1346">
        <v>125</v>
      </c>
      <c r="H1346">
        <v>20</v>
      </c>
      <c r="I1346">
        <v>2577</v>
      </c>
      <c r="J1346">
        <v>463</v>
      </c>
      <c r="K1346">
        <v>421</v>
      </c>
      <c r="L1346">
        <v>227</v>
      </c>
      <c r="M1346">
        <v>1.43112145906092</v>
      </c>
      <c r="N1346" t="s">
        <v>23</v>
      </c>
      <c r="O1346">
        <v>0</v>
      </c>
    </row>
    <row r="1347" spans="1:15" x14ac:dyDescent="0.35">
      <c r="A1347">
        <v>1346</v>
      </c>
      <c r="B1347" t="s">
        <v>26</v>
      </c>
      <c r="C1347" t="s">
        <v>16</v>
      </c>
      <c r="D1347" s="1">
        <v>45348</v>
      </c>
      <c r="E1347" t="s">
        <v>29</v>
      </c>
      <c r="F1347">
        <v>18</v>
      </c>
      <c r="G1347">
        <v>66</v>
      </c>
      <c r="H1347">
        <v>10</v>
      </c>
      <c r="I1347">
        <v>2750</v>
      </c>
      <c r="J1347">
        <v>137</v>
      </c>
      <c r="K1347">
        <v>554</v>
      </c>
      <c r="L1347">
        <v>21</v>
      </c>
      <c r="M1347">
        <v>1.2589090909090901</v>
      </c>
      <c r="N1347" t="s">
        <v>23</v>
      </c>
      <c r="O1347">
        <v>0</v>
      </c>
    </row>
    <row r="1348" spans="1:15" x14ac:dyDescent="0.35">
      <c r="A1348">
        <v>1347</v>
      </c>
      <c r="B1348" t="s">
        <v>15</v>
      </c>
      <c r="C1348" t="s">
        <v>24</v>
      </c>
      <c r="D1348" s="1">
        <v>45472</v>
      </c>
      <c r="E1348" t="s">
        <v>28</v>
      </c>
      <c r="F1348">
        <v>23</v>
      </c>
      <c r="G1348">
        <v>121</v>
      </c>
      <c r="H1348">
        <v>5</v>
      </c>
      <c r="I1348">
        <v>4579</v>
      </c>
      <c r="J1348">
        <v>69</v>
      </c>
      <c r="K1348">
        <v>52</v>
      </c>
      <c r="L1348">
        <v>532</v>
      </c>
      <c r="M1348">
        <v>1.14260755623498</v>
      </c>
      <c r="N1348" t="s">
        <v>23</v>
      </c>
      <c r="O1348">
        <v>0</v>
      </c>
    </row>
    <row r="1349" spans="1:15" x14ac:dyDescent="0.35">
      <c r="A1349">
        <v>1348</v>
      </c>
      <c r="B1349" t="s">
        <v>15</v>
      </c>
      <c r="C1349" t="s">
        <v>24</v>
      </c>
      <c r="D1349" s="1">
        <v>45566</v>
      </c>
      <c r="E1349" t="s">
        <v>17</v>
      </c>
      <c r="F1349">
        <v>16</v>
      </c>
      <c r="G1349">
        <v>231</v>
      </c>
      <c r="H1349">
        <v>6</v>
      </c>
      <c r="I1349">
        <v>3290</v>
      </c>
      <c r="J1349">
        <v>740</v>
      </c>
      <c r="K1349">
        <v>236</v>
      </c>
      <c r="L1349">
        <v>298</v>
      </c>
      <c r="M1349">
        <v>1.3872340425531899</v>
      </c>
      <c r="N1349" t="s">
        <v>23</v>
      </c>
      <c r="O1349">
        <v>0</v>
      </c>
    </row>
    <row r="1350" spans="1:15" x14ac:dyDescent="0.35">
      <c r="A1350">
        <v>1349</v>
      </c>
      <c r="B1350" t="s">
        <v>26</v>
      </c>
      <c r="C1350" t="s">
        <v>16</v>
      </c>
      <c r="D1350" s="1">
        <v>45575</v>
      </c>
      <c r="E1350" t="s">
        <v>27</v>
      </c>
      <c r="F1350">
        <v>22</v>
      </c>
      <c r="G1350">
        <v>223</v>
      </c>
      <c r="H1350">
        <v>15</v>
      </c>
      <c r="I1350">
        <v>2087</v>
      </c>
      <c r="J1350">
        <v>18</v>
      </c>
      <c r="K1350">
        <v>38</v>
      </c>
      <c r="L1350">
        <v>21</v>
      </c>
      <c r="M1350">
        <v>1.0368950646861499</v>
      </c>
      <c r="N1350" t="s">
        <v>23</v>
      </c>
      <c r="O1350">
        <v>0</v>
      </c>
    </row>
    <row r="1351" spans="1:15" x14ac:dyDescent="0.35">
      <c r="A1351">
        <v>1350</v>
      </c>
      <c r="B1351" t="s">
        <v>15</v>
      </c>
      <c r="C1351" t="s">
        <v>19</v>
      </c>
      <c r="D1351" s="1">
        <v>45313</v>
      </c>
      <c r="E1351" t="s">
        <v>29</v>
      </c>
      <c r="F1351">
        <v>13</v>
      </c>
      <c r="G1351">
        <v>37</v>
      </c>
      <c r="H1351">
        <v>8</v>
      </c>
      <c r="I1351">
        <v>1335</v>
      </c>
      <c r="J1351">
        <v>294</v>
      </c>
      <c r="K1351">
        <v>310</v>
      </c>
      <c r="L1351">
        <v>25</v>
      </c>
      <c r="M1351">
        <v>1.47116104868913</v>
      </c>
      <c r="N1351" t="s">
        <v>23</v>
      </c>
      <c r="O1351">
        <v>0</v>
      </c>
    </row>
    <row r="1352" spans="1:15" x14ac:dyDescent="0.35">
      <c r="A1352">
        <v>1351</v>
      </c>
      <c r="B1352" t="s">
        <v>26</v>
      </c>
      <c r="C1352" t="s">
        <v>24</v>
      </c>
      <c r="D1352" s="1">
        <v>45355</v>
      </c>
      <c r="E1352" t="s">
        <v>29</v>
      </c>
      <c r="F1352">
        <v>8</v>
      </c>
      <c r="G1352">
        <v>59</v>
      </c>
      <c r="H1352">
        <v>2</v>
      </c>
      <c r="I1352">
        <v>3145</v>
      </c>
      <c r="J1352">
        <v>676</v>
      </c>
      <c r="K1352">
        <v>412</v>
      </c>
      <c r="L1352">
        <v>135</v>
      </c>
      <c r="M1352">
        <v>1.38887122416534</v>
      </c>
      <c r="N1352" t="s">
        <v>23</v>
      </c>
      <c r="O1352">
        <v>0</v>
      </c>
    </row>
    <row r="1353" spans="1:15" x14ac:dyDescent="0.35">
      <c r="A1353">
        <v>1352</v>
      </c>
      <c r="B1353" t="s">
        <v>26</v>
      </c>
      <c r="C1353" t="s">
        <v>16</v>
      </c>
      <c r="D1353" s="1">
        <v>45550</v>
      </c>
      <c r="E1353" t="s">
        <v>20</v>
      </c>
      <c r="F1353">
        <v>9</v>
      </c>
      <c r="G1353">
        <v>220</v>
      </c>
      <c r="H1353">
        <v>6</v>
      </c>
      <c r="I1353">
        <v>3452</v>
      </c>
      <c r="J1353">
        <v>25</v>
      </c>
      <c r="K1353">
        <v>17</v>
      </c>
      <c r="L1353">
        <v>555</v>
      </c>
      <c r="M1353">
        <v>1.1729432213209701</v>
      </c>
      <c r="N1353" t="s">
        <v>23</v>
      </c>
      <c r="O1353">
        <v>0</v>
      </c>
    </row>
    <row r="1354" spans="1:15" x14ac:dyDescent="0.35">
      <c r="A1354">
        <v>1353</v>
      </c>
      <c r="B1354" t="s">
        <v>22</v>
      </c>
      <c r="C1354" t="s">
        <v>24</v>
      </c>
      <c r="D1354" s="1">
        <v>45451</v>
      </c>
      <c r="E1354" t="s">
        <v>28</v>
      </c>
      <c r="F1354">
        <v>20</v>
      </c>
      <c r="G1354">
        <v>123</v>
      </c>
      <c r="H1354">
        <v>3</v>
      </c>
      <c r="I1354">
        <v>2701</v>
      </c>
      <c r="J1354">
        <v>440</v>
      </c>
      <c r="K1354">
        <v>526</v>
      </c>
      <c r="L1354">
        <v>24</v>
      </c>
      <c r="M1354">
        <v>1.36653091447612</v>
      </c>
      <c r="N1354" t="s">
        <v>23</v>
      </c>
      <c r="O1354">
        <v>0</v>
      </c>
    </row>
    <row r="1355" spans="1:15" x14ac:dyDescent="0.35">
      <c r="A1355">
        <v>1354</v>
      </c>
      <c r="B1355" t="s">
        <v>22</v>
      </c>
      <c r="C1355" t="s">
        <v>16</v>
      </c>
      <c r="D1355" s="1">
        <v>45427</v>
      </c>
      <c r="E1355" t="s">
        <v>25</v>
      </c>
      <c r="F1355">
        <v>13</v>
      </c>
      <c r="G1355">
        <v>228</v>
      </c>
      <c r="H1355">
        <v>17</v>
      </c>
      <c r="I1355">
        <v>4770</v>
      </c>
      <c r="J1355">
        <v>487</v>
      </c>
      <c r="K1355">
        <v>387</v>
      </c>
      <c r="L1355">
        <v>299</v>
      </c>
      <c r="M1355">
        <v>1.24591194968553</v>
      </c>
      <c r="N1355" t="s">
        <v>23</v>
      </c>
      <c r="O1355">
        <v>0</v>
      </c>
    </row>
    <row r="1356" spans="1:15" x14ac:dyDescent="0.35">
      <c r="A1356">
        <v>1355</v>
      </c>
      <c r="B1356" t="s">
        <v>15</v>
      </c>
      <c r="C1356" t="s">
        <v>24</v>
      </c>
      <c r="D1356" s="1">
        <v>45434</v>
      </c>
      <c r="E1356" t="s">
        <v>25</v>
      </c>
      <c r="F1356">
        <v>6</v>
      </c>
      <c r="G1356">
        <v>274</v>
      </c>
      <c r="H1356">
        <v>12</v>
      </c>
      <c r="I1356">
        <v>4009</v>
      </c>
      <c r="J1356">
        <v>296</v>
      </c>
      <c r="K1356">
        <v>548</v>
      </c>
      <c r="L1356">
        <v>519</v>
      </c>
      <c r="M1356">
        <v>1.3399850336742301</v>
      </c>
      <c r="N1356" t="s">
        <v>23</v>
      </c>
      <c r="O1356">
        <v>0</v>
      </c>
    </row>
    <row r="1357" spans="1:15" x14ac:dyDescent="0.35">
      <c r="A1357">
        <v>1356</v>
      </c>
      <c r="B1357" t="s">
        <v>15</v>
      </c>
      <c r="C1357" t="s">
        <v>19</v>
      </c>
      <c r="D1357" s="1">
        <v>45482</v>
      </c>
      <c r="E1357" t="s">
        <v>17</v>
      </c>
      <c r="F1357">
        <v>6</v>
      </c>
      <c r="G1357">
        <v>223</v>
      </c>
      <c r="H1357">
        <v>7</v>
      </c>
      <c r="I1357">
        <v>4527</v>
      </c>
      <c r="J1357">
        <v>736</v>
      </c>
      <c r="K1357">
        <v>112</v>
      </c>
      <c r="L1357">
        <v>464</v>
      </c>
      <c r="M1357">
        <v>1.28981665562182</v>
      </c>
      <c r="N1357" t="s">
        <v>23</v>
      </c>
      <c r="O1357">
        <v>0</v>
      </c>
    </row>
    <row r="1358" spans="1:15" x14ac:dyDescent="0.35">
      <c r="A1358">
        <v>1357</v>
      </c>
      <c r="B1358" t="s">
        <v>26</v>
      </c>
      <c r="C1358" t="s">
        <v>24</v>
      </c>
      <c r="D1358" s="1">
        <v>45520</v>
      </c>
      <c r="E1358" t="s">
        <v>30</v>
      </c>
      <c r="F1358">
        <v>16</v>
      </c>
      <c r="G1358">
        <v>93</v>
      </c>
      <c r="H1358">
        <v>20</v>
      </c>
      <c r="I1358">
        <v>3079</v>
      </c>
      <c r="J1358">
        <v>493</v>
      </c>
      <c r="K1358">
        <v>578</v>
      </c>
      <c r="L1358">
        <v>112</v>
      </c>
      <c r="M1358">
        <v>1.38421565443325</v>
      </c>
      <c r="N1358" t="s">
        <v>23</v>
      </c>
      <c r="O1358">
        <v>0</v>
      </c>
    </row>
    <row r="1359" spans="1:15" x14ac:dyDescent="0.35">
      <c r="A1359">
        <v>1358</v>
      </c>
      <c r="B1359" t="s">
        <v>22</v>
      </c>
      <c r="C1359" t="s">
        <v>19</v>
      </c>
      <c r="D1359" s="1">
        <v>45334</v>
      </c>
      <c r="E1359" t="s">
        <v>29</v>
      </c>
      <c r="F1359">
        <v>13</v>
      </c>
      <c r="G1359">
        <v>62</v>
      </c>
      <c r="H1359">
        <v>4</v>
      </c>
      <c r="I1359">
        <v>831</v>
      </c>
      <c r="J1359">
        <v>579</v>
      </c>
      <c r="K1359">
        <v>175</v>
      </c>
      <c r="L1359">
        <v>213</v>
      </c>
      <c r="M1359">
        <v>2.1636582430806199</v>
      </c>
      <c r="N1359" t="s">
        <v>21</v>
      </c>
      <c r="O1359">
        <v>0</v>
      </c>
    </row>
    <row r="1360" spans="1:15" x14ac:dyDescent="0.35">
      <c r="A1360">
        <v>1359</v>
      </c>
      <c r="B1360" t="s">
        <v>15</v>
      </c>
      <c r="C1360" t="s">
        <v>24</v>
      </c>
      <c r="D1360" s="1">
        <v>45498</v>
      </c>
      <c r="E1360" t="s">
        <v>27</v>
      </c>
      <c r="F1360">
        <v>14</v>
      </c>
      <c r="G1360">
        <v>230</v>
      </c>
      <c r="H1360">
        <v>9</v>
      </c>
      <c r="I1360">
        <v>3929</v>
      </c>
      <c r="J1360">
        <v>540</v>
      </c>
      <c r="K1360">
        <v>582</v>
      </c>
      <c r="L1360">
        <v>239</v>
      </c>
      <c r="M1360">
        <v>1.3463985747009399</v>
      </c>
      <c r="N1360" t="s">
        <v>23</v>
      </c>
      <c r="O1360">
        <v>0</v>
      </c>
    </row>
    <row r="1361" spans="1:15" x14ac:dyDescent="0.35">
      <c r="A1361">
        <v>1360</v>
      </c>
      <c r="B1361" t="s">
        <v>26</v>
      </c>
      <c r="C1361" t="s">
        <v>24</v>
      </c>
      <c r="D1361" s="1">
        <v>45464</v>
      </c>
      <c r="E1361" t="s">
        <v>30</v>
      </c>
      <c r="F1361">
        <v>6</v>
      </c>
      <c r="G1361">
        <v>157</v>
      </c>
      <c r="H1361">
        <v>6</v>
      </c>
      <c r="I1361">
        <v>1283</v>
      </c>
      <c r="J1361">
        <v>42</v>
      </c>
      <c r="K1361">
        <v>331</v>
      </c>
      <c r="L1361">
        <v>579</v>
      </c>
      <c r="M1361">
        <v>1.7420109119251701</v>
      </c>
      <c r="N1361" t="s">
        <v>21</v>
      </c>
      <c r="O1361">
        <v>0</v>
      </c>
    </row>
    <row r="1362" spans="1:15" x14ac:dyDescent="0.35">
      <c r="A1362">
        <v>1361</v>
      </c>
      <c r="B1362" t="s">
        <v>26</v>
      </c>
      <c r="C1362" t="s">
        <v>16</v>
      </c>
      <c r="D1362" s="1">
        <v>45579</v>
      </c>
      <c r="E1362" t="s">
        <v>29</v>
      </c>
      <c r="F1362">
        <v>16</v>
      </c>
      <c r="G1362">
        <v>256</v>
      </c>
      <c r="H1362">
        <v>15</v>
      </c>
      <c r="I1362">
        <v>4053</v>
      </c>
      <c r="J1362">
        <v>563</v>
      </c>
      <c r="K1362">
        <v>513</v>
      </c>
      <c r="L1362">
        <v>321</v>
      </c>
      <c r="M1362">
        <v>1.34468295090056</v>
      </c>
      <c r="N1362" t="s">
        <v>23</v>
      </c>
      <c r="O1362">
        <v>0</v>
      </c>
    </row>
    <row r="1363" spans="1:15" x14ac:dyDescent="0.35">
      <c r="A1363">
        <v>1362</v>
      </c>
      <c r="B1363" t="s">
        <v>22</v>
      </c>
      <c r="C1363" t="s">
        <v>19</v>
      </c>
      <c r="D1363" s="1">
        <v>45555</v>
      </c>
      <c r="E1363" t="s">
        <v>30</v>
      </c>
      <c r="F1363">
        <v>8</v>
      </c>
      <c r="G1363">
        <v>212</v>
      </c>
      <c r="H1363">
        <v>4</v>
      </c>
      <c r="I1363">
        <v>4594</v>
      </c>
      <c r="J1363">
        <v>762</v>
      </c>
      <c r="K1363">
        <v>85</v>
      </c>
      <c r="L1363">
        <v>108</v>
      </c>
      <c r="M1363">
        <v>1.20787984327383</v>
      </c>
      <c r="N1363" t="s">
        <v>23</v>
      </c>
      <c r="O1363">
        <v>0</v>
      </c>
    </row>
    <row r="1364" spans="1:15" x14ac:dyDescent="0.35">
      <c r="A1364">
        <v>1363</v>
      </c>
      <c r="B1364" t="s">
        <v>15</v>
      </c>
      <c r="C1364" t="s">
        <v>24</v>
      </c>
      <c r="D1364" s="1">
        <v>45298</v>
      </c>
      <c r="E1364" t="s">
        <v>20</v>
      </c>
      <c r="F1364">
        <v>9</v>
      </c>
      <c r="G1364">
        <v>39</v>
      </c>
      <c r="H1364">
        <v>13</v>
      </c>
      <c r="I1364">
        <v>1377</v>
      </c>
      <c r="J1364">
        <v>537</v>
      </c>
      <c r="K1364">
        <v>126</v>
      </c>
      <c r="L1364">
        <v>171</v>
      </c>
      <c r="M1364">
        <v>1.60566448801742</v>
      </c>
      <c r="N1364" t="s">
        <v>23</v>
      </c>
      <c r="O1364">
        <v>0</v>
      </c>
    </row>
    <row r="1365" spans="1:15" x14ac:dyDescent="0.35">
      <c r="A1365">
        <v>1364</v>
      </c>
      <c r="B1365" t="s">
        <v>15</v>
      </c>
      <c r="C1365" t="s">
        <v>19</v>
      </c>
      <c r="D1365" s="1">
        <v>45545</v>
      </c>
      <c r="E1365" t="s">
        <v>17</v>
      </c>
      <c r="F1365">
        <v>23</v>
      </c>
      <c r="G1365">
        <v>234</v>
      </c>
      <c r="H1365">
        <v>12</v>
      </c>
      <c r="I1365">
        <v>1448</v>
      </c>
      <c r="J1365">
        <v>646</v>
      </c>
      <c r="K1365">
        <v>539</v>
      </c>
      <c r="L1365">
        <v>499</v>
      </c>
      <c r="M1365">
        <v>2.1629834254143598</v>
      </c>
      <c r="N1365" t="s">
        <v>21</v>
      </c>
      <c r="O1365">
        <v>0</v>
      </c>
    </row>
    <row r="1366" spans="1:15" x14ac:dyDescent="0.35">
      <c r="A1366">
        <v>1365</v>
      </c>
      <c r="B1366" t="s">
        <v>26</v>
      </c>
      <c r="C1366" t="s">
        <v>19</v>
      </c>
      <c r="D1366" s="1">
        <v>45296</v>
      </c>
      <c r="E1366" t="s">
        <v>30</v>
      </c>
      <c r="F1366">
        <v>14</v>
      </c>
      <c r="G1366">
        <v>287</v>
      </c>
      <c r="H1366">
        <v>10</v>
      </c>
      <c r="I1366">
        <v>2480</v>
      </c>
      <c r="J1366">
        <v>125</v>
      </c>
      <c r="K1366">
        <v>447</v>
      </c>
      <c r="L1366">
        <v>302</v>
      </c>
      <c r="M1366">
        <v>1.3524193548387</v>
      </c>
      <c r="N1366" t="s">
        <v>23</v>
      </c>
      <c r="O1366">
        <v>0</v>
      </c>
    </row>
    <row r="1367" spans="1:15" x14ac:dyDescent="0.35">
      <c r="A1367">
        <v>1366</v>
      </c>
      <c r="B1367" t="s">
        <v>22</v>
      </c>
      <c r="C1367" t="s">
        <v>19</v>
      </c>
      <c r="D1367" s="1">
        <v>45482</v>
      </c>
      <c r="E1367" t="s">
        <v>17</v>
      </c>
      <c r="F1367">
        <v>12</v>
      </c>
      <c r="G1367">
        <v>210</v>
      </c>
      <c r="H1367">
        <v>16</v>
      </c>
      <c r="I1367">
        <v>4668</v>
      </c>
      <c r="J1367">
        <v>670</v>
      </c>
      <c r="K1367">
        <v>171</v>
      </c>
      <c r="L1367">
        <v>145</v>
      </c>
      <c r="M1367">
        <v>1.2112253641816599</v>
      </c>
      <c r="N1367" t="s">
        <v>23</v>
      </c>
      <c r="O1367">
        <v>0</v>
      </c>
    </row>
    <row r="1368" spans="1:15" x14ac:dyDescent="0.35">
      <c r="A1368">
        <v>1367</v>
      </c>
      <c r="B1368" t="s">
        <v>26</v>
      </c>
      <c r="C1368" t="s">
        <v>19</v>
      </c>
      <c r="D1368" s="1">
        <v>45420</v>
      </c>
      <c r="E1368" t="s">
        <v>25</v>
      </c>
      <c r="F1368">
        <v>10</v>
      </c>
      <c r="G1368">
        <v>104</v>
      </c>
      <c r="H1368">
        <v>16</v>
      </c>
      <c r="I1368">
        <v>3917</v>
      </c>
      <c r="J1368">
        <v>478</v>
      </c>
      <c r="K1368">
        <v>217</v>
      </c>
      <c r="L1368">
        <v>339</v>
      </c>
      <c r="M1368">
        <v>1.2639775338268999</v>
      </c>
      <c r="N1368" t="s">
        <v>23</v>
      </c>
      <c r="O1368">
        <v>0</v>
      </c>
    </row>
    <row r="1369" spans="1:15" x14ac:dyDescent="0.35">
      <c r="A1369">
        <v>1368</v>
      </c>
      <c r="B1369" t="s">
        <v>15</v>
      </c>
      <c r="C1369" t="s">
        <v>24</v>
      </c>
      <c r="D1369" s="1">
        <v>45534</v>
      </c>
      <c r="E1369" t="s">
        <v>30</v>
      </c>
      <c r="F1369">
        <v>8</v>
      </c>
      <c r="G1369">
        <v>22</v>
      </c>
      <c r="H1369">
        <v>9</v>
      </c>
      <c r="I1369">
        <v>130</v>
      </c>
      <c r="J1369">
        <v>330</v>
      </c>
      <c r="K1369">
        <v>428</v>
      </c>
      <c r="L1369">
        <v>184</v>
      </c>
      <c r="M1369">
        <v>8.24615384615384</v>
      </c>
      <c r="N1369" t="s">
        <v>18</v>
      </c>
      <c r="O1369">
        <v>0</v>
      </c>
    </row>
    <row r="1370" spans="1:15" x14ac:dyDescent="0.35">
      <c r="A1370">
        <v>1369</v>
      </c>
      <c r="B1370" t="s">
        <v>22</v>
      </c>
      <c r="C1370" t="s">
        <v>24</v>
      </c>
      <c r="D1370" s="1">
        <v>45388</v>
      </c>
      <c r="E1370" t="s">
        <v>28</v>
      </c>
      <c r="F1370">
        <v>9</v>
      </c>
      <c r="G1370">
        <v>51</v>
      </c>
      <c r="H1370">
        <v>19</v>
      </c>
      <c r="I1370">
        <v>1682</v>
      </c>
      <c r="J1370">
        <v>715</v>
      </c>
      <c r="K1370">
        <v>98</v>
      </c>
      <c r="L1370">
        <v>551</v>
      </c>
      <c r="M1370">
        <v>1.8109393579072499</v>
      </c>
      <c r="N1370" t="s">
        <v>21</v>
      </c>
      <c r="O1370">
        <v>0</v>
      </c>
    </row>
    <row r="1371" spans="1:15" x14ac:dyDescent="0.35">
      <c r="A1371">
        <v>1370</v>
      </c>
      <c r="B1371" t="s">
        <v>26</v>
      </c>
      <c r="C1371" t="s">
        <v>19</v>
      </c>
      <c r="D1371" s="1">
        <v>45531</v>
      </c>
      <c r="E1371" t="s">
        <v>17</v>
      </c>
      <c r="F1371">
        <v>13</v>
      </c>
      <c r="G1371">
        <v>196</v>
      </c>
      <c r="H1371">
        <v>20</v>
      </c>
      <c r="I1371">
        <v>4919</v>
      </c>
      <c r="J1371">
        <v>165</v>
      </c>
      <c r="K1371">
        <v>70</v>
      </c>
      <c r="L1371">
        <v>359</v>
      </c>
      <c r="M1371">
        <v>1.12075625127058</v>
      </c>
      <c r="N1371" t="s">
        <v>23</v>
      </c>
      <c r="O1371">
        <v>0</v>
      </c>
    </row>
    <row r="1372" spans="1:15" x14ac:dyDescent="0.35">
      <c r="A1372">
        <v>1371</v>
      </c>
      <c r="B1372" t="s">
        <v>26</v>
      </c>
      <c r="C1372" t="s">
        <v>19</v>
      </c>
      <c r="D1372" s="1">
        <v>45299</v>
      </c>
      <c r="E1372" t="s">
        <v>29</v>
      </c>
      <c r="F1372">
        <v>15</v>
      </c>
      <c r="G1372">
        <v>208</v>
      </c>
      <c r="H1372">
        <v>19</v>
      </c>
      <c r="I1372">
        <v>1628</v>
      </c>
      <c r="J1372">
        <v>286</v>
      </c>
      <c r="K1372">
        <v>293</v>
      </c>
      <c r="L1372">
        <v>437</v>
      </c>
      <c r="M1372">
        <v>1.62407862407862</v>
      </c>
      <c r="N1372" t="s">
        <v>21</v>
      </c>
      <c r="O1372">
        <v>0</v>
      </c>
    </row>
    <row r="1373" spans="1:15" x14ac:dyDescent="0.35">
      <c r="A1373">
        <v>1372</v>
      </c>
      <c r="B1373" t="s">
        <v>26</v>
      </c>
      <c r="C1373" t="s">
        <v>16</v>
      </c>
      <c r="D1373" s="1">
        <v>45498</v>
      </c>
      <c r="E1373" t="s">
        <v>27</v>
      </c>
      <c r="F1373">
        <v>8</v>
      </c>
      <c r="G1373">
        <v>98</v>
      </c>
      <c r="H1373">
        <v>3</v>
      </c>
      <c r="I1373">
        <v>2136</v>
      </c>
      <c r="J1373">
        <v>579</v>
      </c>
      <c r="K1373">
        <v>556</v>
      </c>
      <c r="L1373">
        <v>657</v>
      </c>
      <c r="M1373">
        <v>1.8389513108614199</v>
      </c>
      <c r="N1373" t="s">
        <v>21</v>
      </c>
      <c r="O1373">
        <v>0</v>
      </c>
    </row>
    <row r="1374" spans="1:15" x14ac:dyDescent="0.35">
      <c r="A1374">
        <v>1373</v>
      </c>
      <c r="B1374" t="s">
        <v>15</v>
      </c>
      <c r="C1374" t="s">
        <v>16</v>
      </c>
      <c r="D1374" s="1">
        <v>45402</v>
      </c>
      <c r="E1374" t="s">
        <v>28</v>
      </c>
      <c r="F1374">
        <v>22</v>
      </c>
      <c r="G1374">
        <v>216</v>
      </c>
      <c r="H1374">
        <v>10</v>
      </c>
      <c r="I1374">
        <v>2343</v>
      </c>
      <c r="J1374">
        <v>187</v>
      </c>
      <c r="K1374">
        <v>271</v>
      </c>
      <c r="L1374">
        <v>578</v>
      </c>
      <c r="M1374">
        <v>1.4421681604780101</v>
      </c>
      <c r="N1374" t="s">
        <v>23</v>
      </c>
      <c r="O1374">
        <v>0</v>
      </c>
    </row>
    <row r="1375" spans="1:15" x14ac:dyDescent="0.35">
      <c r="A1375">
        <v>1374</v>
      </c>
      <c r="B1375" t="s">
        <v>26</v>
      </c>
      <c r="C1375" t="s">
        <v>24</v>
      </c>
      <c r="D1375" s="1">
        <v>45586</v>
      </c>
      <c r="E1375" t="s">
        <v>29</v>
      </c>
      <c r="F1375">
        <v>12</v>
      </c>
      <c r="G1375">
        <v>106</v>
      </c>
      <c r="H1375">
        <v>0</v>
      </c>
      <c r="I1375">
        <v>4901</v>
      </c>
      <c r="J1375">
        <v>624</v>
      </c>
      <c r="K1375">
        <v>285</v>
      </c>
      <c r="L1375">
        <v>631</v>
      </c>
      <c r="M1375">
        <v>1.31422158743113</v>
      </c>
      <c r="N1375" t="s">
        <v>23</v>
      </c>
      <c r="O1375">
        <v>0</v>
      </c>
    </row>
    <row r="1376" spans="1:15" x14ac:dyDescent="0.35">
      <c r="A1376">
        <v>1375</v>
      </c>
      <c r="B1376" t="s">
        <v>15</v>
      </c>
      <c r="C1376" t="s">
        <v>24</v>
      </c>
      <c r="D1376" s="1">
        <v>45410</v>
      </c>
      <c r="E1376" t="s">
        <v>20</v>
      </c>
      <c r="F1376">
        <v>6</v>
      </c>
      <c r="G1376">
        <v>185</v>
      </c>
      <c r="H1376">
        <v>2</v>
      </c>
      <c r="I1376">
        <v>1823</v>
      </c>
      <c r="J1376">
        <v>98</v>
      </c>
      <c r="K1376">
        <v>152</v>
      </c>
      <c r="L1376">
        <v>147</v>
      </c>
      <c r="M1376">
        <v>1.2177729018101999</v>
      </c>
      <c r="N1376" t="s">
        <v>23</v>
      </c>
      <c r="O1376">
        <v>0</v>
      </c>
    </row>
    <row r="1377" spans="1:15" x14ac:dyDescent="0.35">
      <c r="A1377">
        <v>1376</v>
      </c>
      <c r="B1377" t="s">
        <v>26</v>
      </c>
      <c r="C1377" t="s">
        <v>24</v>
      </c>
      <c r="D1377" s="1">
        <v>45318</v>
      </c>
      <c r="E1377" t="s">
        <v>28</v>
      </c>
      <c r="F1377">
        <v>16</v>
      </c>
      <c r="G1377">
        <v>174</v>
      </c>
      <c r="H1377">
        <v>16</v>
      </c>
      <c r="I1377">
        <v>1172</v>
      </c>
      <c r="J1377">
        <v>528</v>
      </c>
      <c r="K1377">
        <v>452</v>
      </c>
      <c r="L1377">
        <v>436</v>
      </c>
      <c r="M1377">
        <v>2.2081911262798601</v>
      </c>
      <c r="N1377" t="s">
        <v>21</v>
      </c>
      <c r="O1377">
        <v>0</v>
      </c>
    </row>
    <row r="1378" spans="1:15" x14ac:dyDescent="0.35">
      <c r="A1378">
        <v>1377</v>
      </c>
      <c r="B1378" t="s">
        <v>22</v>
      </c>
      <c r="C1378" t="s">
        <v>19</v>
      </c>
      <c r="D1378" s="1">
        <v>45352</v>
      </c>
      <c r="E1378" t="s">
        <v>30</v>
      </c>
      <c r="F1378">
        <v>21</v>
      </c>
      <c r="G1378">
        <v>201</v>
      </c>
      <c r="H1378">
        <v>9</v>
      </c>
      <c r="I1378">
        <v>2022</v>
      </c>
      <c r="J1378">
        <v>578</v>
      </c>
      <c r="K1378">
        <v>404</v>
      </c>
      <c r="L1378">
        <v>387</v>
      </c>
      <c r="M1378">
        <v>1.67705242334322</v>
      </c>
      <c r="N1378" t="s">
        <v>21</v>
      </c>
      <c r="O1378">
        <v>0</v>
      </c>
    </row>
    <row r="1379" spans="1:15" x14ac:dyDescent="0.35">
      <c r="A1379">
        <v>1378</v>
      </c>
      <c r="B1379" t="s">
        <v>15</v>
      </c>
      <c r="C1379" t="s">
        <v>16</v>
      </c>
      <c r="D1379" s="1">
        <v>45559</v>
      </c>
      <c r="E1379" t="s">
        <v>17</v>
      </c>
      <c r="F1379">
        <v>14</v>
      </c>
      <c r="G1379">
        <v>93</v>
      </c>
      <c r="H1379">
        <v>13</v>
      </c>
      <c r="I1379">
        <v>2646</v>
      </c>
      <c r="J1379">
        <v>548</v>
      </c>
      <c r="K1379">
        <v>82</v>
      </c>
      <c r="L1379">
        <v>620</v>
      </c>
      <c r="M1379">
        <v>1.4724111866969001</v>
      </c>
      <c r="N1379" t="s">
        <v>23</v>
      </c>
      <c r="O1379">
        <v>0</v>
      </c>
    </row>
    <row r="1380" spans="1:15" x14ac:dyDescent="0.35">
      <c r="A1380">
        <v>1379</v>
      </c>
      <c r="B1380" t="s">
        <v>26</v>
      </c>
      <c r="C1380" t="s">
        <v>24</v>
      </c>
      <c r="D1380" s="1">
        <v>45578</v>
      </c>
      <c r="E1380" t="s">
        <v>20</v>
      </c>
      <c r="F1380">
        <v>17</v>
      </c>
      <c r="G1380">
        <v>111</v>
      </c>
      <c r="H1380">
        <v>0</v>
      </c>
      <c r="I1380">
        <v>3667</v>
      </c>
      <c r="J1380">
        <v>506</v>
      </c>
      <c r="K1380">
        <v>258</v>
      </c>
      <c r="L1380">
        <v>124</v>
      </c>
      <c r="M1380">
        <v>1.2421598036542101</v>
      </c>
      <c r="N1380" t="s">
        <v>23</v>
      </c>
      <c r="O1380">
        <v>0</v>
      </c>
    </row>
    <row r="1381" spans="1:15" x14ac:dyDescent="0.35">
      <c r="A1381">
        <v>1380</v>
      </c>
      <c r="B1381" t="s">
        <v>15</v>
      </c>
      <c r="C1381" t="s">
        <v>19</v>
      </c>
      <c r="D1381" s="1">
        <v>45479</v>
      </c>
      <c r="E1381" t="s">
        <v>28</v>
      </c>
      <c r="F1381">
        <v>23</v>
      </c>
      <c r="G1381">
        <v>117</v>
      </c>
      <c r="H1381">
        <v>12</v>
      </c>
      <c r="I1381">
        <v>3868</v>
      </c>
      <c r="J1381">
        <v>794</v>
      </c>
      <c r="K1381">
        <v>356</v>
      </c>
      <c r="L1381">
        <v>435</v>
      </c>
      <c r="M1381">
        <v>1.40977249224405</v>
      </c>
      <c r="N1381" t="s">
        <v>23</v>
      </c>
      <c r="O1381">
        <v>0</v>
      </c>
    </row>
    <row r="1382" spans="1:15" x14ac:dyDescent="0.35">
      <c r="A1382">
        <v>1381</v>
      </c>
      <c r="B1382" t="s">
        <v>22</v>
      </c>
      <c r="C1382" t="s">
        <v>24</v>
      </c>
      <c r="D1382" s="1">
        <v>45483</v>
      </c>
      <c r="E1382" t="s">
        <v>25</v>
      </c>
      <c r="F1382">
        <v>22</v>
      </c>
      <c r="G1382">
        <v>119</v>
      </c>
      <c r="H1382">
        <v>0</v>
      </c>
      <c r="I1382">
        <v>1516</v>
      </c>
      <c r="J1382">
        <v>770</v>
      </c>
      <c r="K1382">
        <v>12</v>
      </c>
      <c r="L1382">
        <v>201</v>
      </c>
      <c r="M1382">
        <v>1.64841688654353</v>
      </c>
      <c r="N1382" t="s">
        <v>21</v>
      </c>
      <c r="O1382">
        <v>0</v>
      </c>
    </row>
    <row r="1383" spans="1:15" x14ac:dyDescent="0.35">
      <c r="A1383">
        <v>1382</v>
      </c>
      <c r="B1383" t="s">
        <v>22</v>
      </c>
      <c r="C1383" t="s">
        <v>19</v>
      </c>
      <c r="D1383" s="1">
        <v>45592</v>
      </c>
      <c r="E1383" t="s">
        <v>20</v>
      </c>
      <c r="F1383">
        <v>6</v>
      </c>
      <c r="G1383">
        <v>159</v>
      </c>
      <c r="H1383">
        <v>1</v>
      </c>
      <c r="I1383">
        <v>2592</v>
      </c>
      <c r="J1383">
        <v>341</v>
      </c>
      <c r="K1383">
        <v>98</v>
      </c>
      <c r="L1383">
        <v>378</v>
      </c>
      <c r="M1383">
        <v>1.3152006172839501</v>
      </c>
      <c r="N1383" t="s">
        <v>23</v>
      </c>
      <c r="O1383">
        <v>0</v>
      </c>
    </row>
    <row r="1384" spans="1:15" x14ac:dyDescent="0.35">
      <c r="A1384">
        <v>1383</v>
      </c>
      <c r="B1384" t="s">
        <v>22</v>
      </c>
      <c r="C1384" t="s">
        <v>19</v>
      </c>
      <c r="D1384" s="1">
        <v>45432</v>
      </c>
      <c r="E1384" t="s">
        <v>29</v>
      </c>
      <c r="F1384">
        <v>7</v>
      </c>
      <c r="G1384">
        <v>35</v>
      </c>
      <c r="H1384">
        <v>15</v>
      </c>
      <c r="I1384">
        <v>3971</v>
      </c>
      <c r="J1384">
        <v>412</v>
      </c>
      <c r="K1384">
        <v>46</v>
      </c>
      <c r="L1384">
        <v>260</v>
      </c>
      <c r="M1384">
        <v>1.1808108788718199</v>
      </c>
      <c r="N1384" t="s">
        <v>23</v>
      </c>
      <c r="O1384">
        <v>0</v>
      </c>
    </row>
    <row r="1385" spans="1:15" x14ac:dyDescent="0.35">
      <c r="A1385">
        <v>1384</v>
      </c>
      <c r="B1385" t="s">
        <v>26</v>
      </c>
      <c r="C1385" t="s">
        <v>16</v>
      </c>
      <c r="D1385" s="1">
        <v>45524</v>
      </c>
      <c r="E1385" t="s">
        <v>17</v>
      </c>
      <c r="F1385">
        <v>7</v>
      </c>
      <c r="G1385">
        <v>209</v>
      </c>
      <c r="H1385">
        <v>0</v>
      </c>
      <c r="I1385">
        <v>4066</v>
      </c>
      <c r="J1385">
        <v>182</v>
      </c>
      <c r="K1385">
        <v>486</v>
      </c>
      <c r="L1385">
        <v>664</v>
      </c>
      <c r="M1385">
        <v>1.3275946876537099</v>
      </c>
      <c r="N1385" t="s">
        <v>23</v>
      </c>
      <c r="O1385">
        <v>0</v>
      </c>
    </row>
    <row r="1386" spans="1:15" x14ac:dyDescent="0.35">
      <c r="A1386">
        <v>1385</v>
      </c>
      <c r="B1386" t="s">
        <v>15</v>
      </c>
      <c r="C1386" t="s">
        <v>16</v>
      </c>
      <c r="D1386" s="1">
        <v>45370</v>
      </c>
      <c r="E1386" t="s">
        <v>17</v>
      </c>
      <c r="F1386">
        <v>20</v>
      </c>
      <c r="G1386">
        <v>51</v>
      </c>
      <c r="H1386">
        <v>10</v>
      </c>
      <c r="I1386">
        <v>1499</v>
      </c>
      <c r="J1386">
        <v>139</v>
      </c>
      <c r="K1386">
        <v>86</v>
      </c>
      <c r="L1386">
        <v>430</v>
      </c>
      <c r="M1386">
        <v>1.4369579719813199</v>
      </c>
      <c r="N1386" t="s">
        <v>23</v>
      </c>
      <c r="O1386">
        <v>0</v>
      </c>
    </row>
    <row r="1387" spans="1:15" x14ac:dyDescent="0.35">
      <c r="A1387">
        <v>1386</v>
      </c>
      <c r="B1387" t="s">
        <v>26</v>
      </c>
      <c r="C1387" t="s">
        <v>19</v>
      </c>
      <c r="D1387" s="1">
        <v>45341</v>
      </c>
      <c r="E1387" t="s">
        <v>29</v>
      </c>
      <c r="F1387">
        <v>6</v>
      </c>
      <c r="G1387">
        <v>190</v>
      </c>
      <c r="H1387">
        <v>10</v>
      </c>
      <c r="I1387">
        <v>4507</v>
      </c>
      <c r="J1387">
        <v>289</v>
      </c>
      <c r="K1387">
        <v>200</v>
      </c>
      <c r="L1387">
        <v>671</v>
      </c>
      <c r="M1387">
        <v>1.25737741291324</v>
      </c>
      <c r="N1387" t="s">
        <v>23</v>
      </c>
      <c r="O1387">
        <v>0</v>
      </c>
    </row>
    <row r="1388" spans="1:15" x14ac:dyDescent="0.35">
      <c r="A1388">
        <v>1387</v>
      </c>
      <c r="B1388" t="s">
        <v>15</v>
      </c>
      <c r="C1388" t="s">
        <v>19</v>
      </c>
      <c r="D1388" s="1">
        <v>45378</v>
      </c>
      <c r="E1388" t="s">
        <v>25</v>
      </c>
      <c r="F1388">
        <v>18</v>
      </c>
      <c r="G1388">
        <v>233</v>
      </c>
      <c r="H1388">
        <v>1</v>
      </c>
      <c r="I1388">
        <v>4857</v>
      </c>
      <c r="J1388">
        <v>744</v>
      </c>
      <c r="K1388">
        <v>377</v>
      </c>
      <c r="L1388">
        <v>529</v>
      </c>
      <c r="M1388">
        <v>1.33971587399629</v>
      </c>
      <c r="N1388" t="s">
        <v>23</v>
      </c>
      <c r="O1388">
        <v>0</v>
      </c>
    </row>
    <row r="1389" spans="1:15" x14ac:dyDescent="0.35">
      <c r="A1389">
        <v>1388</v>
      </c>
      <c r="B1389" t="s">
        <v>26</v>
      </c>
      <c r="C1389" t="s">
        <v>24</v>
      </c>
      <c r="D1389" s="1">
        <v>45325</v>
      </c>
      <c r="E1389" t="s">
        <v>28</v>
      </c>
      <c r="F1389">
        <v>8</v>
      </c>
      <c r="G1389">
        <v>108</v>
      </c>
      <c r="H1389">
        <v>14</v>
      </c>
      <c r="I1389">
        <v>1630</v>
      </c>
      <c r="J1389">
        <v>784</v>
      </c>
      <c r="K1389">
        <v>515</v>
      </c>
      <c r="L1389">
        <v>152</v>
      </c>
      <c r="M1389">
        <v>1.8901840490797499</v>
      </c>
      <c r="N1389" t="s">
        <v>21</v>
      </c>
      <c r="O1389">
        <v>0</v>
      </c>
    </row>
    <row r="1390" spans="1:15" x14ac:dyDescent="0.35">
      <c r="A1390">
        <v>1389</v>
      </c>
      <c r="B1390" t="s">
        <v>22</v>
      </c>
      <c r="C1390" t="s">
        <v>16</v>
      </c>
      <c r="D1390" s="1">
        <v>45314</v>
      </c>
      <c r="E1390" t="s">
        <v>17</v>
      </c>
      <c r="F1390">
        <v>6</v>
      </c>
      <c r="G1390">
        <v>179</v>
      </c>
      <c r="H1390">
        <v>8</v>
      </c>
      <c r="I1390">
        <v>2307</v>
      </c>
      <c r="J1390">
        <v>628</v>
      </c>
      <c r="K1390">
        <v>205</v>
      </c>
      <c r="L1390">
        <v>518</v>
      </c>
      <c r="M1390">
        <v>1.58560901603814</v>
      </c>
      <c r="N1390" t="s">
        <v>23</v>
      </c>
      <c r="O1390">
        <v>0</v>
      </c>
    </row>
    <row r="1391" spans="1:15" x14ac:dyDescent="0.35">
      <c r="A1391">
        <v>1390</v>
      </c>
      <c r="B1391" t="s">
        <v>26</v>
      </c>
      <c r="C1391" t="s">
        <v>19</v>
      </c>
      <c r="D1391" s="1">
        <v>45579</v>
      </c>
      <c r="E1391" t="s">
        <v>29</v>
      </c>
      <c r="F1391">
        <v>8</v>
      </c>
      <c r="G1391">
        <v>257</v>
      </c>
      <c r="H1391">
        <v>2</v>
      </c>
      <c r="I1391">
        <v>2922</v>
      </c>
      <c r="J1391">
        <v>125</v>
      </c>
      <c r="K1391">
        <v>351</v>
      </c>
      <c r="L1391">
        <v>478</v>
      </c>
      <c r="M1391">
        <v>1.3264887063655</v>
      </c>
      <c r="N1391" t="s">
        <v>23</v>
      </c>
      <c r="O1391">
        <v>0</v>
      </c>
    </row>
    <row r="1392" spans="1:15" x14ac:dyDescent="0.35">
      <c r="A1392">
        <v>1391</v>
      </c>
      <c r="B1392" t="s">
        <v>22</v>
      </c>
      <c r="C1392" t="s">
        <v>19</v>
      </c>
      <c r="D1392" s="1">
        <v>45351</v>
      </c>
      <c r="E1392" t="s">
        <v>27</v>
      </c>
      <c r="F1392">
        <v>6</v>
      </c>
      <c r="G1392">
        <v>106</v>
      </c>
      <c r="H1392">
        <v>0</v>
      </c>
      <c r="I1392">
        <v>791</v>
      </c>
      <c r="J1392">
        <v>191</v>
      </c>
      <c r="K1392">
        <v>90</v>
      </c>
      <c r="L1392">
        <v>191</v>
      </c>
      <c r="M1392">
        <v>1.59671302149178</v>
      </c>
      <c r="N1392" t="s">
        <v>23</v>
      </c>
      <c r="O1392">
        <v>0</v>
      </c>
    </row>
    <row r="1393" spans="1:15" x14ac:dyDescent="0.35">
      <c r="A1393">
        <v>1392</v>
      </c>
      <c r="B1393" t="s">
        <v>22</v>
      </c>
      <c r="C1393" t="s">
        <v>19</v>
      </c>
      <c r="D1393" s="1">
        <v>45403</v>
      </c>
      <c r="E1393" t="s">
        <v>20</v>
      </c>
      <c r="F1393">
        <v>12</v>
      </c>
      <c r="G1393">
        <v>87</v>
      </c>
      <c r="H1393">
        <v>9</v>
      </c>
      <c r="I1393">
        <v>3118</v>
      </c>
      <c r="J1393">
        <v>476</v>
      </c>
      <c r="K1393">
        <v>85</v>
      </c>
      <c r="L1393">
        <v>253</v>
      </c>
      <c r="M1393">
        <v>1.26106478511866</v>
      </c>
      <c r="N1393" t="s">
        <v>23</v>
      </c>
      <c r="O1393">
        <v>0</v>
      </c>
    </row>
    <row r="1394" spans="1:15" x14ac:dyDescent="0.35">
      <c r="A1394">
        <v>1393</v>
      </c>
      <c r="B1394" t="s">
        <v>22</v>
      </c>
      <c r="C1394" t="s">
        <v>16</v>
      </c>
      <c r="D1394" s="1">
        <v>45319</v>
      </c>
      <c r="E1394" t="s">
        <v>20</v>
      </c>
      <c r="F1394">
        <v>16</v>
      </c>
      <c r="G1394">
        <v>231</v>
      </c>
      <c r="H1394">
        <v>7</v>
      </c>
      <c r="I1394">
        <v>3157</v>
      </c>
      <c r="J1394">
        <v>727</v>
      </c>
      <c r="K1394">
        <v>295</v>
      </c>
      <c r="L1394">
        <v>183</v>
      </c>
      <c r="M1394">
        <v>1.38169147925245</v>
      </c>
      <c r="N1394" t="s">
        <v>23</v>
      </c>
      <c r="O1394">
        <v>0</v>
      </c>
    </row>
    <row r="1395" spans="1:15" x14ac:dyDescent="0.35">
      <c r="A1395">
        <v>1394</v>
      </c>
      <c r="B1395" t="s">
        <v>22</v>
      </c>
      <c r="C1395" t="s">
        <v>19</v>
      </c>
      <c r="D1395" s="1">
        <v>45388</v>
      </c>
      <c r="E1395" t="s">
        <v>28</v>
      </c>
      <c r="F1395">
        <v>20</v>
      </c>
      <c r="G1395">
        <v>155</v>
      </c>
      <c r="H1395">
        <v>2</v>
      </c>
      <c r="I1395">
        <v>2284</v>
      </c>
      <c r="J1395">
        <v>209</v>
      </c>
      <c r="K1395">
        <v>183</v>
      </c>
      <c r="L1395">
        <v>303</v>
      </c>
      <c r="M1395">
        <v>1.3042907180385199</v>
      </c>
      <c r="N1395" t="s">
        <v>23</v>
      </c>
      <c r="O1395">
        <v>0</v>
      </c>
    </row>
    <row r="1396" spans="1:15" x14ac:dyDescent="0.35">
      <c r="A1396">
        <v>1395</v>
      </c>
      <c r="B1396" t="s">
        <v>26</v>
      </c>
      <c r="C1396" t="s">
        <v>19</v>
      </c>
      <c r="D1396" s="1">
        <v>45542</v>
      </c>
      <c r="E1396" t="s">
        <v>28</v>
      </c>
      <c r="F1396">
        <v>20</v>
      </c>
      <c r="G1396">
        <v>107</v>
      </c>
      <c r="H1396">
        <v>1</v>
      </c>
      <c r="I1396">
        <v>2959</v>
      </c>
      <c r="J1396">
        <v>597</v>
      </c>
      <c r="K1396">
        <v>374</v>
      </c>
      <c r="L1396">
        <v>358</v>
      </c>
      <c r="M1396">
        <v>1.4491382223724201</v>
      </c>
      <c r="N1396" t="s">
        <v>23</v>
      </c>
      <c r="O1396">
        <v>0</v>
      </c>
    </row>
    <row r="1397" spans="1:15" x14ac:dyDescent="0.35">
      <c r="A1397">
        <v>1396</v>
      </c>
      <c r="B1397" t="s">
        <v>15</v>
      </c>
      <c r="C1397" t="s">
        <v>19</v>
      </c>
      <c r="D1397" s="1">
        <v>45591</v>
      </c>
      <c r="E1397" t="s">
        <v>28</v>
      </c>
      <c r="F1397">
        <v>19</v>
      </c>
      <c r="G1397">
        <v>197</v>
      </c>
      <c r="H1397">
        <v>20</v>
      </c>
      <c r="I1397">
        <v>3209</v>
      </c>
      <c r="J1397">
        <v>164</v>
      </c>
      <c r="K1397">
        <v>552</v>
      </c>
      <c r="L1397">
        <v>583</v>
      </c>
      <c r="M1397">
        <v>1.40479900280461</v>
      </c>
      <c r="N1397" t="s">
        <v>23</v>
      </c>
      <c r="O1397">
        <v>0</v>
      </c>
    </row>
    <row r="1398" spans="1:15" x14ac:dyDescent="0.35">
      <c r="A1398">
        <v>1397</v>
      </c>
      <c r="B1398" t="s">
        <v>26</v>
      </c>
      <c r="C1398" t="s">
        <v>24</v>
      </c>
      <c r="D1398" s="1">
        <v>45439</v>
      </c>
      <c r="E1398" t="s">
        <v>29</v>
      </c>
      <c r="F1398">
        <v>8</v>
      </c>
      <c r="G1398">
        <v>282</v>
      </c>
      <c r="H1398">
        <v>6</v>
      </c>
      <c r="I1398">
        <v>1749</v>
      </c>
      <c r="J1398">
        <v>355</v>
      </c>
      <c r="K1398">
        <v>517</v>
      </c>
      <c r="L1398">
        <v>565</v>
      </c>
      <c r="M1398">
        <v>1.82161234991423</v>
      </c>
      <c r="N1398" t="s">
        <v>21</v>
      </c>
      <c r="O1398">
        <v>0</v>
      </c>
    </row>
    <row r="1399" spans="1:15" x14ac:dyDescent="0.35">
      <c r="A1399">
        <v>1398</v>
      </c>
      <c r="B1399" t="s">
        <v>15</v>
      </c>
      <c r="C1399" t="s">
        <v>19</v>
      </c>
      <c r="D1399" s="1">
        <v>45424</v>
      </c>
      <c r="E1399" t="s">
        <v>20</v>
      </c>
      <c r="F1399">
        <v>11</v>
      </c>
      <c r="G1399">
        <v>263</v>
      </c>
      <c r="H1399">
        <v>4</v>
      </c>
      <c r="I1399">
        <v>1837</v>
      </c>
      <c r="J1399">
        <v>483</v>
      </c>
      <c r="K1399">
        <v>269</v>
      </c>
      <c r="L1399">
        <v>33</v>
      </c>
      <c r="M1399">
        <v>1.4273271638541101</v>
      </c>
      <c r="N1399" t="s">
        <v>23</v>
      </c>
      <c r="O1399">
        <v>0</v>
      </c>
    </row>
    <row r="1400" spans="1:15" x14ac:dyDescent="0.35">
      <c r="A1400">
        <v>1399</v>
      </c>
      <c r="B1400" t="s">
        <v>22</v>
      </c>
      <c r="C1400" t="s">
        <v>19</v>
      </c>
      <c r="D1400" s="1">
        <v>45531</v>
      </c>
      <c r="E1400" t="s">
        <v>17</v>
      </c>
      <c r="F1400">
        <v>7</v>
      </c>
      <c r="G1400">
        <v>185</v>
      </c>
      <c r="H1400">
        <v>3</v>
      </c>
      <c r="I1400">
        <v>4857</v>
      </c>
      <c r="J1400">
        <v>335</v>
      </c>
      <c r="K1400">
        <v>383</v>
      </c>
      <c r="L1400">
        <v>578</v>
      </c>
      <c r="M1400">
        <v>1.2668313773934501</v>
      </c>
      <c r="N1400" t="s">
        <v>23</v>
      </c>
      <c r="O1400">
        <v>0</v>
      </c>
    </row>
    <row r="1401" spans="1:15" x14ac:dyDescent="0.35">
      <c r="A1401">
        <v>1400</v>
      </c>
      <c r="B1401" t="s">
        <v>22</v>
      </c>
      <c r="C1401" t="s">
        <v>24</v>
      </c>
      <c r="D1401" s="1">
        <v>45475</v>
      </c>
      <c r="E1401" t="s">
        <v>17</v>
      </c>
      <c r="F1401">
        <v>9</v>
      </c>
      <c r="G1401">
        <v>115</v>
      </c>
      <c r="H1401">
        <v>11</v>
      </c>
      <c r="I1401">
        <v>114</v>
      </c>
      <c r="J1401">
        <v>167</v>
      </c>
      <c r="K1401">
        <v>433</v>
      </c>
      <c r="L1401">
        <v>487</v>
      </c>
      <c r="M1401">
        <v>10.5350877192982</v>
      </c>
      <c r="N1401" t="s">
        <v>18</v>
      </c>
      <c r="O1401">
        <v>0</v>
      </c>
    </row>
    <row r="1402" spans="1:15" x14ac:dyDescent="0.35">
      <c r="A1402">
        <v>1401</v>
      </c>
      <c r="B1402" t="s">
        <v>15</v>
      </c>
      <c r="C1402" t="s">
        <v>24</v>
      </c>
      <c r="D1402" s="1">
        <v>45448</v>
      </c>
      <c r="E1402" t="s">
        <v>25</v>
      </c>
      <c r="F1402">
        <v>20</v>
      </c>
      <c r="G1402">
        <v>242</v>
      </c>
      <c r="H1402">
        <v>12</v>
      </c>
      <c r="I1402">
        <v>1383</v>
      </c>
      <c r="J1402">
        <v>483</v>
      </c>
      <c r="K1402">
        <v>561</v>
      </c>
      <c r="L1402">
        <v>191</v>
      </c>
      <c r="M1402">
        <v>1.8929862617498101</v>
      </c>
      <c r="N1402" t="s">
        <v>21</v>
      </c>
      <c r="O1402">
        <v>0</v>
      </c>
    </row>
    <row r="1403" spans="1:15" x14ac:dyDescent="0.35">
      <c r="A1403">
        <v>1402</v>
      </c>
      <c r="B1403" t="s">
        <v>22</v>
      </c>
      <c r="C1403" t="s">
        <v>24</v>
      </c>
      <c r="D1403" s="1">
        <v>45534</v>
      </c>
      <c r="E1403" t="s">
        <v>30</v>
      </c>
      <c r="F1403">
        <v>18</v>
      </c>
      <c r="G1403">
        <v>173</v>
      </c>
      <c r="H1403">
        <v>1</v>
      </c>
      <c r="I1403">
        <v>2045</v>
      </c>
      <c r="J1403">
        <v>263</v>
      </c>
      <c r="K1403">
        <v>384</v>
      </c>
      <c r="L1403">
        <v>616</v>
      </c>
      <c r="M1403">
        <v>1.61760391198044</v>
      </c>
      <c r="N1403" t="s">
        <v>21</v>
      </c>
      <c r="O1403">
        <v>0</v>
      </c>
    </row>
    <row r="1404" spans="1:15" x14ac:dyDescent="0.35">
      <c r="A1404">
        <v>1403</v>
      </c>
      <c r="B1404" t="s">
        <v>22</v>
      </c>
      <c r="C1404" t="s">
        <v>19</v>
      </c>
      <c r="D1404" s="1">
        <v>45411</v>
      </c>
      <c r="E1404" t="s">
        <v>29</v>
      </c>
      <c r="F1404">
        <v>18</v>
      </c>
      <c r="G1404">
        <v>34</v>
      </c>
      <c r="H1404">
        <v>5</v>
      </c>
      <c r="I1404">
        <v>4203</v>
      </c>
      <c r="J1404">
        <v>115</v>
      </c>
      <c r="K1404">
        <v>433</v>
      </c>
      <c r="L1404">
        <v>437</v>
      </c>
      <c r="M1404">
        <v>1.2343564120866</v>
      </c>
      <c r="N1404" t="s">
        <v>23</v>
      </c>
      <c r="O1404">
        <v>0</v>
      </c>
    </row>
    <row r="1405" spans="1:15" x14ac:dyDescent="0.35">
      <c r="A1405">
        <v>1404</v>
      </c>
      <c r="B1405" t="s">
        <v>26</v>
      </c>
      <c r="C1405" t="s">
        <v>16</v>
      </c>
      <c r="D1405" s="1">
        <v>45554</v>
      </c>
      <c r="E1405" t="s">
        <v>27</v>
      </c>
      <c r="F1405">
        <v>10</v>
      </c>
      <c r="G1405">
        <v>190</v>
      </c>
      <c r="H1405">
        <v>1</v>
      </c>
      <c r="I1405">
        <v>1413</v>
      </c>
      <c r="J1405">
        <v>312</v>
      </c>
      <c r="K1405">
        <v>538</v>
      </c>
      <c r="L1405">
        <v>204</v>
      </c>
      <c r="M1405">
        <v>1.7459306440198099</v>
      </c>
      <c r="N1405" t="s">
        <v>21</v>
      </c>
      <c r="O1405">
        <v>0</v>
      </c>
    </row>
    <row r="1406" spans="1:15" x14ac:dyDescent="0.35">
      <c r="A1406">
        <v>1405</v>
      </c>
      <c r="B1406" t="s">
        <v>22</v>
      </c>
      <c r="C1406" t="s">
        <v>24</v>
      </c>
      <c r="D1406" s="1">
        <v>45338</v>
      </c>
      <c r="E1406" t="s">
        <v>30</v>
      </c>
      <c r="F1406">
        <v>11</v>
      </c>
      <c r="G1406">
        <v>255</v>
      </c>
      <c r="H1406">
        <v>0</v>
      </c>
      <c r="I1406">
        <v>2583</v>
      </c>
      <c r="J1406">
        <v>789</v>
      </c>
      <c r="K1406">
        <v>146</v>
      </c>
      <c r="L1406">
        <v>355</v>
      </c>
      <c r="M1406">
        <v>1.49941927990708</v>
      </c>
      <c r="N1406" t="s">
        <v>23</v>
      </c>
      <c r="O1406">
        <v>0</v>
      </c>
    </row>
    <row r="1407" spans="1:15" x14ac:dyDescent="0.35">
      <c r="A1407">
        <v>1406</v>
      </c>
      <c r="B1407" t="s">
        <v>15</v>
      </c>
      <c r="C1407" t="s">
        <v>16</v>
      </c>
      <c r="D1407" s="1">
        <v>45367</v>
      </c>
      <c r="E1407" t="s">
        <v>28</v>
      </c>
      <c r="F1407">
        <v>13</v>
      </c>
      <c r="G1407">
        <v>124</v>
      </c>
      <c r="H1407">
        <v>13</v>
      </c>
      <c r="I1407">
        <v>1691</v>
      </c>
      <c r="J1407">
        <v>181</v>
      </c>
      <c r="K1407">
        <v>310</v>
      </c>
      <c r="L1407">
        <v>315</v>
      </c>
      <c r="M1407">
        <v>1.4766410408042501</v>
      </c>
      <c r="N1407" t="s">
        <v>23</v>
      </c>
      <c r="O1407">
        <v>0</v>
      </c>
    </row>
    <row r="1408" spans="1:15" x14ac:dyDescent="0.35">
      <c r="A1408">
        <v>1407</v>
      </c>
      <c r="B1408" t="s">
        <v>15</v>
      </c>
      <c r="C1408" t="s">
        <v>24</v>
      </c>
      <c r="D1408" s="1">
        <v>45338</v>
      </c>
      <c r="E1408" t="s">
        <v>30</v>
      </c>
      <c r="F1408">
        <v>11</v>
      </c>
      <c r="G1408">
        <v>196</v>
      </c>
      <c r="H1408">
        <v>3</v>
      </c>
      <c r="I1408">
        <v>2054</v>
      </c>
      <c r="J1408">
        <v>162</v>
      </c>
      <c r="K1408">
        <v>570</v>
      </c>
      <c r="L1408">
        <v>384</v>
      </c>
      <c r="M1408">
        <v>1.54333008763388</v>
      </c>
      <c r="N1408" t="s">
        <v>23</v>
      </c>
      <c r="O1408">
        <v>0</v>
      </c>
    </row>
    <row r="1409" spans="1:15" x14ac:dyDescent="0.35">
      <c r="A1409">
        <v>1408</v>
      </c>
      <c r="B1409" t="s">
        <v>22</v>
      </c>
      <c r="C1409" t="s">
        <v>19</v>
      </c>
      <c r="D1409" s="1">
        <v>45533</v>
      </c>
      <c r="E1409" t="s">
        <v>27</v>
      </c>
      <c r="F1409">
        <v>18</v>
      </c>
      <c r="G1409">
        <v>257</v>
      </c>
      <c r="H1409">
        <v>7</v>
      </c>
      <c r="I1409">
        <v>4554</v>
      </c>
      <c r="J1409">
        <v>708</v>
      </c>
      <c r="K1409">
        <v>405</v>
      </c>
      <c r="L1409">
        <v>218</v>
      </c>
      <c r="M1409">
        <v>1.2922705314009599</v>
      </c>
      <c r="N1409" t="s">
        <v>23</v>
      </c>
      <c r="O1409">
        <v>0</v>
      </c>
    </row>
    <row r="1410" spans="1:15" x14ac:dyDescent="0.35">
      <c r="A1410">
        <v>1409</v>
      </c>
      <c r="B1410" t="s">
        <v>22</v>
      </c>
      <c r="C1410" t="s">
        <v>24</v>
      </c>
      <c r="D1410" s="1">
        <v>45341</v>
      </c>
      <c r="E1410" t="s">
        <v>29</v>
      </c>
      <c r="F1410">
        <v>15</v>
      </c>
      <c r="G1410">
        <v>237</v>
      </c>
      <c r="H1410">
        <v>19</v>
      </c>
      <c r="I1410">
        <v>3225</v>
      </c>
      <c r="J1410">
        <v>136</v>
      </c>
      <c r="K1410">
        <v>327</v>
      </c>
      <c r="L1410">
        <v>137</v>
      </c>
      <c r="M1410">
        <v>1.1860465116279</v>
      </c>
      <c r="N1410" t="s">
        <v>23</v>
      </c>
      <c r="O1410">
        <v>0</v>
      </c>
    </row>
    <row r="1411" spans="1:15" x14ac:dyDescent="0.35">
      <c r="A1411">
        <v>1410</v>
      </c>
      <c r="B1411" t="s">
        <v>26</v>
      </c>
      <c r="C1411" t="s">
        <v>19</v>
      </c>
      <c r="D1411" s="1">
        <v>45493</v>
      </c>
      <c r="E1411" t="s">
        <v>28</v>
      </c>
      <c r="F1411">
        <v>6</v>
      </c>
      <c r="G1411">
        <v>133</v>
      </c>
      <c r="H1411">
        <v>19</v>
      </c>
      <c r="I1411">
        <v>4425</v>
      </c>
      <c r="J1411">
        <v>78</v>
      </c>
      <c r="K1411">
        <v>357</v>
      </c>
      <c r="L1411">
        <v>501</v>
      </c>
      <c r="M1411">
        <v>1.21152542372881</v>
      </c>
      <c r="N1411" t="s">
        <v>23</v>
      </c>
      <c r="O1411">
        <v>0</v>
      </c>
    </row>
    <row r="1412" spans="1:15" x14ac:dyDescent="0.35">
      <c r="A1412">
        <v>1411</v>
      </c>
      <c r="B1412" t="s">
        <v>26</v>
      </c>
      <c r="C1412" t="s">
        <v>16</v>
      </c>
      <c r="D1412" s="1">
        <v>45383</v>
      </c>
      <c r="E1412" t="s">
        <v>29</v>
      </c>
      <c r="F1412">
        <v>18</v>
      </c>
      <c r="G1412">
        <v>59</v>
      </c>
      <c r="H1412">
        <v>20</v>
      </c>
      <c r="I1412">
        <v>1976</v>
      </c>
      <c r="J1412">
        <v>382</v>
      </c>
      <c r="K1412">
        <v>372</v>
      </c>
      <c r="L1412">
        <v>349</v>
      </c>
      <c r="M1412">
        <v>1.5581983805668</v>
      </c>
      <c r="N1412" t="s">
        <v>23</v>
      </c>
      <c r="O1412">
        <v>0</v>
      </c>
    </row>
    <row r="1413" spans="1:15" x14ac:dyDescent="0.35">
      <c r="A1413">
        <v>1412</v>
      </c>
      <c r="B1413" t="s">
        <v>15</v>
      </c>
      <c r="C1413" t="s">
        <v>24</v>
      </c>
      <c r="D1413" s="1">
        <v>45409</v>
      </c>
      <c r="E1413" t="s">
        <v>28</v>
      </c>
      <c r="F1413">
        <v>19</v>
      </c>
      <c r="G1413">
        <v>67</v>
      </c>
      <c r="H1413">
        <v>10</v>
      </c>
      <c r="I1413">
        <v>1181</v>
      </c>
      <c r="J1413">
        <v>516</v>
      </c>
      <c r="K1413">
        <v>194</v>
      </c>
      <c r="L1413">
        <v>46</v>
      </c>
      <c r="M1413">
        <v>1.6401354784081199</v>
      </c>
      <c r="N1413" t="s">
        <v>21</v>
      </c>
      <c r="O1413">
        <v>0</v>
      </c>
    </row>
    <row r="1414" spans="1:15" x14ac:dyDescent="0.35">
      <c r="A1414">
        <v>1413</v>
      </c>
      <c r="B1414" t="s">
        <v>22</v>
      </c>
      <c r="C1414" t="s">
        <v>24</v>
      </c>
      <c r="D1414" s="1">
        <v>45488</v>
      </c>
      <c r="E1414" t="s">
        <v>29</v>
      </c>
      <c r="F1414">
        <v>21</v>
      </c>
      <c r="G1414">
        <v>37</v>
      </c>
      <c r="H1414">
        <v>8</v>
      </c>
      <c r="I1414">
        <v>1523</v>
      </c>
      <c r="J1414">
        <v>440</v>
      </c>
      <c r="K1414">
        <v>156</v>
      </c>
      <c r="L1414">
        <v>292</v>
      </c>
      <c r="M1414">
        <v>1.58305975049244</v>
      </c>
      <c r="N1414" t="s">
        <v>23</v>
      </c>
      <c r="O1414">
        <v>0</v>
      </c>
    </row>
    <row r="1415" spans="1:15" x14ac:dyDescent="0.35">
      <c r="A1415">
        <v>1414</v>
      </c>
      <c r="B1415" t="s">
        <v>26</v>
      </c>
      <c r="C1415" t="s">
        <v>16</v>
      </c>
      <c r="D1415" s="1">
        <v>45507</v>
      </c>
      <c r="E1415" t="s">
        <v>28</v>
      </c>
      <c r="F1415">
        <v>20</v>
      </c>
      <c r="G1415">
        <v>62</v>
      </c>
      <c r="H1415">
        <v>11</v>
      </c>
      <c r="I1415">
        <v>1520</v>
      </c>
      <c r="J1415">
        <v>172</v>
      </c>
      <c r="K1415">
        <v>409</v>
      </c>
      <c r="L1415">
        <v>699</v>
      </c>
      <c r="M1415">
        <v>1.84210526315789</v>
      </c>
      <c r="N1415" t="s">
        <v>21</v>
      </c>
      <c r="O1415">
        <v>0</v>
      </c>
    </row>
    <row r="1416" spans="1:15" x14ac:dyDescent="0.35">
      <c r="A1416">
        <v>1415</v>
      </c>
      <c r="B1416" t="s">
        <v>15</v>
      </c>
      <c r="C1416" t="s">
        <v>19</v>
      </c>
      <c r="D1416" s="1">
        <v>45343</v>
      </c>
      <c r="E1416" t="s">
        <v>25</v>
      </c>
      <c r="F1416">
        <v>22</v>
      </c>
      <c r="G1416">
        <v>216</v>
      </c>
      <c r="H1416">
        <v>14</v>
      </c>
      <c r="I1416">
        <v>3363</v>
      </c>
      <c r="J1416">
        <v>17</v>
      </c>
      <c r="K1416">
        <v>166</v>
      </c>
      <c r="L1416">
        <v>327</v>
      </c>
      <c r="M1416">
        <v>1.15165031222123</v>
      </c>
      <c r="N1416" t="s">
        <v>23</v>
      </c>
      <c r="O1416">
        <v>0</v>
      </c>
    </row>
    <row r="1417" spans="1:15" x14ac:dyDescent="0.35">
      <c r="A1417">
        <v>1416</v>
      </c>
      <c r="B1417" t="s">
        <v>15</v>
      </c>
      <c r="C1417" t="s">
        <v>24</v>
      </c>
      <c r="D1417" s="1">
        <v>45297</v>
      </c>
      <c r="E1417" t="s">
        <v>28</v>
      </c>
      <c r="F1417">
        <v>19</v>
      </c>
      <c r="G1417">
        <v>152</v>
      </c>
      <c r="H1417">
        <v>20</v>
      </c>
      <c r="I1417">
        <v>4032</v>
      </c>
      <c r="J1417">
        <v>674</v>
      </c>
      <c r="K1417">
        <v>413</v>
      </c>
      <c r="L1417">
        <v>433</v>
      </c>
      <c r="M1417">
        <v>1.3769841269841201</v>
      </c>
      <c r="N1417" t="s">
        <v>23</v>
      </c>
      <c r="O1417">
        <v>0</v>
      </c>
    </row>
    <row r="1418" spans="1:15" x14ac:dyDescent="0.35">
      <c r="A1418">
        <v>1417</v>
      </c>
      <c r="B1418" t="s">
        <v>22</v>
      </c>
      <c r="C1418" t="s">
        <v>19</v>
      </c>
      <c r="D1418" s="1">
        <v>45351</v>
      </c>
      <c r="E1418" t="s">
        <v>27</v>
      </c>
      <c r="F1418">
        <v>16</v>
      </c>
      <c r="G1418">
        <v>293</v>
      </c>
      <c r="H1418">
        <v>11</v>
      </c>
      <c r="I1418">
        <v>4994</v>
      </c>
      <c r="J1418">
        <v>466</v>
      </c>
      <c r="K1418">
        <v>516</v>
      </c>
      <c r="L1418">
        <v>382</v>
      </c>
      <c r="M1418">
        <v>1.27312775330396</v>
      </c>
      <c r="N1418" t="s">
        <v>23</v>
      </c>
      <c r="O1418">
        <v>0</v>
      </c>
    </row>
    <row r="1419" spans="1:15" x14ac:dyDescent="0.35">
      <c r="A1419">
        <v>1418</v>
      </c>
      <c r="B1419" t="s">
        <v>26</v>
      </c>
      <c r="C1419" t="s">
        <v>16</v>
      </c>
      <c r="D1419" s="1">
        <v>45349</v>
      </c>
      <c r="E1419" t="s">
        <v>17</v>
      </c>
      <c r="F1419">
        <v>10</v>
      </c>
      <c r="G1419">
        <v>23</v>
      </c>
      <c r="H1419">
        <v>10</v>
      </c>
      <c r="I1419">
        <v>1515</v>
      </c>
      <c r="J1419">
        <v>439</v>
      </c>
      <c r="K1419">
        <v>546</v>
      </c>
      <c r="L1419">
        <v>393</v>
      </c>
      <c r="M1419">
        <v>1.9095709570957</v>
      </c>
      <c r="N1419" t="s">
        <v>21</v>
      </c>
      <c r="O1419">
        <v>0</v>
      </c>
    </row>
    <row r="1420" spans="1:15" x14ac:dyDescent="0.35">
      <c r="A1420">
        <v>1419</v>
      </c>
      <c r="B1420" t="s">
        <v>15</v>
      </c>
      <c r="C1420" t="s">
        <v>24</v>
      </c>
      <c r="D1420" s="1">
        <v>45424</v>
      </c>
      <c r="E1420" t="s">
        <v>20</v>
      </c>
      <c r="F1420">
        <v>15</v>
      </c>
      <c r="G1420">
        <v>40</v>
      </c>
      <c r="H1420">
        <v>3</v>
      </c>
      <c r="I1420">
        <v>1668</v>
      </c>
      <c r="J1420">
        <v>532</v>
      </c>
      <c r="K1420">
        <v>467</v>
      </c>
      <c r="L1420">
        <v>446</v>
      </c>
      <c r="M1420">
        <v>1.8663069544364499</v>
      </c>
      <c r="N1420" t="s">
        <v>21</v>
      </c>
      <c r="O1420">
        <v>0</v>
      </c>
    </row>
    <row r="1421" spans="1:15" x14ac:dyDescent="0.35">
      <c r="A1421">
        <v>1420</v>
      </c>
      <c r="B1421" t="s">
        <v>26</v>
      </c>
      <c r="C1421" t="s">
        <v>24</v>
      </c>
      <c r="D1421" s="1">
        <v>45542</v>
      </c>
      <c r="E1421" t="s">
        <v>28</v>
      </c>
      <c r="F1421">
        <v>14</v>
      </c>
      <c r="G1421">
        <v>237</v>
      </c>
      <c r="H1421">
        <v>10</v>
      </c>
      <c r="I1421">
        <v>3820</v>
      </c>
      <c r="J1421">
        <v>380</v>
      </c>
      <c r="K1421">
        <v>53</v>
      </c>
      <c r="L1421">
        <v>614</v>
      </c>
      <c r="M1421">
        <v>1.2740837696334999</v>
      </c>
      <c r="N1421" t="s">
        <v>23</v>
      </c>
      <c r="O1421">
        <v>0</v>
      </c>
    </row>
    <row r="1422" spans="1:15" x14ac:dyDescent="0.35">
      <c r="A1422">
        <v>1421</v>
      </c>
      <c r="B1422" t="s">
        <v>22</v>
      </c>
      <c r="C1422" t="s">
        <v>24</v>
      </c>
      <c r="D1422" s="1">
        <v>45443</v>
      </c>
      <c r="E1422" t="s">
        <v>30</v>
      </c>
      <c r="F1422">
        <v>19</v>
      </c>
      <c r="G1422">
        <v>28</v>
      </c>
      <c r="H1422">
        <v>14</v>
      </c>
      <c r="I1422">
        <v>242</v>
      </c>
      <c r="J1422">
        <v>560</v>
      </c>
      <c r="K1422">
        <v>275</v>
      </c>
      <c r="L1422">
        <v>184</v>
      </c>
      <c r="M1422">
        <v>5.2107438016528898</v>
      </c>
      <c r="N1422" t="s">
        <v>18</v>
      </c>
      <c r="O1422">
        <v>0</v>
      </c>
    </row>
    <row r="1423" spans="1:15" x14ac:dyDescent="0.35">
      <c r="A1423">
        <v>1422</v>
      </c>
      <c r="B1423" t="s">
        <v>15</v>
      </c>
      <c r="C1423" t="s">
        <v>24</v>
      </c>
      <c r="D1423" s="1">
        <v>45458</v>
      </c>
      <c r="E1423" t="s">
        <v>28</v>
      </c>
      <c r="F1423">
        <v>7</v>
      </c>
      <c r="G1423">
        <v>292</v>
      </c>
      <c r="H1423">
        <v>12</v>
      </c>
      <c r="I1423">
        <v>2488</v>
      </c>
      <c r="J1423">
        <v>656</v>
      </c>
      <c r="K1423">
        <v>38</v>
      </c>
      <c r="L1423">
        <v>611</v>
      </c>
      <c r="M1423">
        <v>1.52451768488745</v>
      </c>
      <c r="N1423" t="s">
        <v>23</v>
      </c>
      <c r="O1423">
        <v>0</v>
      </c>
    </row>
    <row r="1424" spans="1:15" x14ac:dyDescent="0.35">
      <c r="A1424">
        <v>1423</v>
      </c>
      <c r="B1424" t="s">
        <v>15</v>
      </c>
      <c r="C1424" t="s">
        <v>19</v>
      </c>
      <c r="D1424" s="1">
        <v>45419</v>
      </c>
      <c r="E1424" t="s">
        <v>17</v>
      </c>
      <c r="F1424">
        <v>10</v>
      </c>
      <c r="G1424">
        <v>272</v>
      </c>
      <c r="H1424">
        <v>13</v>
      </c>
      <c r="I1424">
        <v>1485</v>
      </c>
      <c r="J1424">
        <v>91</v>
      </c>
      <c r="K1424">
        <v>549</v>
      </c>
      <c r="L1424">
        <v>97</v>
      </c>
      <c r="M1424">
        <v>1.49629629629629</v>
      </c>
      <c r="N1424" t="s">
        <v>23</v>
      </c>
      <c r="O1424">
        <v>0</v>
      </c>
    </row>
    <row r="1425" spans="1:15" x14ac:dyDescent="0.35">
      <c r="A1425">
        <v>1424</v>
      </c>
      <c r="B1425" t="s">
        <v>26</v>
      </c>
      <c r="C1425" t="s">
        <v>24</v>
      </c>
      <c r="D1425" s="1">
        <v>45432</v>
      </c>
      <c r="E1425" t="s">
        <v>29</v>
      </c>
      <c r="F1425">
        <v>7</v>
      </c>
      <c r="G1425">
        <v>59</v>
      </c>
      <c r="H1425">
        <v>10</v>
      </c>
      <c r="I1425">
        <v>2879</v>
      </c>
      <c r="J1425">
        <v>474</v>
      </c>
      <c r="K1425">
        <v>251</v>
      </c>
      <c r="L1425">
        <v>537</v>
      </c>
      <c r="M1425">
        <v>1.43834664814171</v>
      </c>
      <c r="N1425" t="s">
        <v>23</v>
      </c>
      <c r="O1425">
        <v>0</v>
      </c>
    </row>
    <row r="1426" spans="1:15" x14ac:dyDescent="0.35">
      <c r="A1426">
        <v>1425</v>
      </c>
      <c r="B1426" t="s">
        <v>26</v>
      </c>
      <c r="C1426" t="s">
        <v>19</v>
      </c>
      <c r="D1426" s="1">
        <v>45482</v>
      </c>
      <c r="E1426" t="s">
        <v>17</v>
      </c>
      <c r="F1426">
        <v>8</v>
      </c>
      <c r="G1426">
        <v>192</v>
      </c>
      <c r="H1426">
        <v>20</v>
      </c>
      <c r="I1426">
        <v>363</v>
      </c>
      <c r="J1426">
        <v>155</v>
      </c>
      <c r="K1426">
        <v>105</v>
      </c>
      <c r="L1426">
        <v>392</v>
      </c>
      <c r="M1426">
        <v>2.7961432506886998</v>
      </c>
      <c r="N1426" t="s">
        <v>18</v>
      </c>
      <c r="O1426">
        <v>0</v>
      </c>
    </row>
    <row r="1427" spans="1:15" x14ac:dyDescent="0.35">
      <c r="A1427">
        <v>1426</v>
      </c>
      <c r="B1427" t="s">
        <v>26</v>
      </c>
      <c r="C1427" t="s">
        <v>24</v>
      </c>
      <c r="D1427" s="1">
        <v>45446</v>
      </c>
      <c r="E1427" t="s">
        <v>29</v>
      </c>
      <c r="F1427">
        <v>8</v>
      </c>
      <c r="G1427">
        <v>241</v>
      </c>
      <c r="H1427">
        <v>3</v>
      </c>
      <c r="I1427">
        <v>3511</v>
      </c>
      <c r="J1427">
        <v>415</v>
      </c>
      <c r="K1427">
        <v>24</v>
      </c>
      <c r="L1427">
        <v>189</v>
      </c>
      <c r="M1427">
        <v>1.17886641982341</v>
      </c>
      <c r="N1427" t="s">
        <v>23</v>
      </c>
      <c r="O1427">
        <v>0</v>
      </c>
    </row>
    <row r="1428" spans="1:15" x14ac:dyDescent="0.35">
      <c r="A1428">
        <v>1427</v>
      </c>
      <c r="B1428" t="s">
        <v>26</v>
      </c>
      <c r="C1428" t="s">
        <v>19</v>
      </c>
      <c r="D1428" s="1">
        <v>45390</v>
      </c>
      <c r="E1428" t="s">
        <v>29</v>
      </c>
      <c r="F1428">
        <v>13</v>
      </c>
      <c r="G1428">
        <v>45</v>
      </c>
      <c r="H1428">
        <v>11</v>
      </c>
      <c r="I1428">
        <v>4726</v>
      </c>
      <c r="J1428">
        <v>272</v>
      </c>
      <c r="K1428">
        <v>312</v>
      </c>
      <c r="L1428">
        <v>631</v>
      </c>
      <c r="M1428">
        <v>1.25708844688954</v>
      </c>
      <c r="N1428" t="s">
        <v>23</v>
      </c>
      <c r="O1428">
        <v>0</v>
      </c>
    </row>
    <row r="1429" spans="1:15" x14ac:dyDescent="0.35">
      <c r="A1429">
        <v>1428</v>
      </c>
      <c r="B1429" t="s">
        <v>26</v>
      </c>
      <c r="C1429" t="s">
        <v>19</v>
      </c>
      <c r="D1429" s="1">
        <v>45585</v>
      </c>
      <c r="E1429" t="s">
        <v>20</v>
      </c>
      <c r="F1429">
        <v>11</v>
      </c>
      <c r="G1429">
        <v>161</v>
      </c>
      <c r="H1429">
        <v>16</v>
      </c>
      <c r="I1429">
        <v>3924</v>
      </c>
      <c r="J1429">
        <v>225</v>
      </c>
      <c r="K1429">
        <v>449</v>
      </c>
      <c r="L1429">
        <v>282</v>
      </c>
      <c r="M1429">
        <v>1.2436289500509601</v>
      </c>
      <c r="N1429" t="s">
        <v>23</v>
      </c>
      <c r="O1429">
        <v>0</v>
      </c>
    </row>
    <row r="1430" spans="1:15" x14ac:dyDescent="0.35">
      <c r="A1430">
        <v>1429</v>
      </c>
      <c r="B1430" t="s">
        <v>15</v>
      </c>
      <c r="C1430" t="s">
        <v>24</v>
      </c>
      <c r="D1430" s="1">
        <v>45315</v>
      </c>
      <c r="E1430" t="s">
        <v>25</v>
      </c>
      <c r="F1430">
        <v>12</v>
      </c>
      <c r="G1430">
        <v>29</v>
      </c>
      <c r="H1430">
        <v>13</v>
      </c>
      <c r="I1430">
        <v>3315</v>
      </c>
      <c r="J1430">
        <v>190</v>
      </c>
      <c r="K1430">
        <v>293</v>
      </c>
      <c r="L1430">
        <v>280</v>
      </c>
      <c r="M1430">
        <v>1.23016591251885</v>
      </c>
      <c r="N1430" t="s">
        <v>23</v>
      </c>
      <c r="O1430">
        <v>0</v>
      </c>
    </row>
    <row r="1431" spans="1:15" x14ac:dyDescent="0.35">
      <c r="A1431">
        <v>1430</v>
      </c>
      <c r="B1431" t="s">
        <v>26</v>
      </c>
      <c r="C1431" t="s">
        <v>24</v>
      </c>
      <c r="D1431" s="1">
        <v>45358</v>
      </c>
      <c r="E1431" t="s">
        <v>27</v>
      </c>
      <c r="F1431">
        <v>9</v>
      </c>
      <c r="G1431">
        <v>133</v>
      </c>
      <c r="H1431">
        <v>7</v>
      </c>
      <c r="I1431">
        <v>2300</v>
      </c>
      <c r="J1431">
        <v>278</v>
      </c>
      <c r="K1431">
        <v>475</v>
      </c>
      <c r="L1431">
        <v>614</v>
      </c>
      <c r="M1431">
        <v>1.5943478260869499</v>
      </c>
      <c r="N1431" t="s">
        <v>23</v>
      </c>
      <c r="O1431">
        <v>0</v>
      </c>
    </row>
    <row r="1432" spans="1:15" x14ac:dyDescent="0.35">
      <c r="A1432">
        <v>1431</v>
      </c>
      <c r="B1432" t="s">
        <v>22</v>
      </c>
      <c r="C1432" t="s">
        <v>19</v>
      </c>
      <c r="D1432" s="1">
        <v>45301</v>
      </c>
      <c r="E1432" t="s">
        <v>25</v>
      </c>
      <c r="F1432">
        <v>20</v>
      </c>
      <c r="G1432">
        <v>235</v>
      </c>
      <c r="H1432">
        <v>20</v>
      </c>
      <c r="I1432">
        <v>2709</v>
      </c>
      <c r="J1432">
        <v>231</v>
      </c>
      <c r="K1432">
        <v>67</v>
      </c>
      <c r="L1432">
        <v>627</v>
      </c>
      <c r="M1432">
        <v>1.3414544112218501</v>
      </c>
      <c r="N1432" t="s">
        <v>23</v>
      </c>
      <c r="O1432">
        <v>0</v>
      </c>
    </row>
    <row r="1433" spans="1:15" x14ac:dyDescent="0.35">
      <c r="A1433">
        <v>1432</v>
      </c>
      <c r="B1433" t="s">
        <v>15</v>
      </c>
      <c r="C1433" t="s">
        <v>24</v>
      </c>
      <c r="D1433" s="1">
        <v>45460</v>
      </c>
      <c r="E1433" t="s">
        <v>29</v>
      </c>
      <c r="F1433">
        <v>16</v>
      </c>
      <c r="G1433">
        <v>183</v>
      </c>
      <c r="H1433">
        <v>11</v>
      </c>
      <c r="I1433">
        <v>4485</v>
      </c>
      <c r="J1433">
        <v>403</v>
      </c>
      <c r="K1433">
        <v>489</v>
      </c>
      <c r="L1433">
        <v>572</v>
      </c>
      <c r="M1433">
        <v>1.32642140468227</v>
      </c>
      <c r="N1433" t="s">
        <v>23</v>
      </c>
      <c r="O1433">
        <v>0</v>
      </c>
    </row>
    <row r="1434" spans="1:15" x14ac:dyDescent="0.35">
      <c r="A1434">
        <v>1433</v>
      </c>
      <c r="B1434" t="s">
        <v>26</v>
      </c>
      <c r="C1434" t="s">
        <v>19</v>
      </c>
      <c r="D1434" s="1">
        <v>45519</v>
      </c>
      <c r="E1434" t="s">
        <v>27</v>
      </c>
      <c r="F1434">
        <v>11</v>
      </c>
      <c r="G1434">
        <v>219</v>
      </c>
      <c r="H1434">
        <v>8</v>
      </c>
      <c r="I1434">
        <v>1293</v>
      </c>
      <c r="J1434">
        <v>478</v>
      </c>
      <c r="K1434">
        <v>512</v>
      </c>
      <c r="L1434">
        <v>216</v>
      </c>
      <c r="M1434">
        <v>1.9327146171693701</v>
      </c>
      <c r="N1434" t="s">
        <v>21</v>
      </c>
      <c r="O1434">
        <v>0</v>
      </c>
    </row>
    <row r="1435" spans="1:15" x14ac:dyDescent="0.35">
      <c r="A1435">
        <v>1434</v>
      </c>
      <c r="B1435" t="s">
        <v>26</v>
      </c>
      <c r="C1435" t="s">
        <v>24</v>
      </c>
      <c r="D1435" s="1">
        <v>45498</v>
      </c>
      <c r="E1435" t="s">
        <v>27</v>
      </c>
      <c r="F1435">
        <v>23</v>
      </c>
      <c r="G1435">
        <v>196</v>
      </c>
      <c r="H1435">
        <v>2</v>
      </c>
      <c r="I1435">
        <v>314</v>
      </c>
      <c r="J1435">
        <v>681</v>
      </c>
      <c r="K1435">
        <v>587</v>
      </c>
      <c r="L1435">
        <v>81</v>
      </c>
      <c r="M1435">
        <v>5.2961783439490402</v>
      </c>
      <c r="N1435" t="s">
        <v>18</v>
      </c>
      <c r="O1435">
        <v>1</v>
      </c>
    </row>
    <row r="1436" spans="1:15" x14ac:dyDescent="0.35">
      <c r="A1436">
        <v>1435</v>
      </c>
      <c r="B1436" t="s">
        <v>22</v>
      </c>
      <c r="C1436" t="s">
        <v>24</v>
      </c>
      <c r="D1436" s="1">
        <v>45398</v>
      </c>
      <c r="E1436" t="s">
        <v>17</v>
      </c>
      <c r="F1436">
        <v>20</v>
      </c>
      <c r="G1436">
        <v>35</v>
      </c>
      <c r="H1436">
        <v>4</v>
      </c>
      <c r="I1436">
        <v>4388</v>
      </c>
      <c r="J1436">
        <v>383</v>
      </c>
      <c r="K1436">
        <v>313</v>
      </c>
      <c r="L1436">
        <v>299</v>
      </c>
      <c r="M1436">
        <v>1.2267547857793899</v>
      </c>
      <c r="N1436" t="s">
        <v>23</v>
      </c>
      <c r="O1436">
        <v>0</v>
      </c>
    </row>
    <row r="1437" spans="1:15" x14ac:dyDescent="0.35">
      <c r="A1437">
        <v>1436</v>
      </c>
      <c r="B1437" t="s">
        <v>22</v>
      </c>
      <c r="C1437" t="s">
        <v>24</v>
      </c>
      <c r="D1437" s="1">
        <v>45591</v>
      </c>
      <c r="E1437" t="s">
        <v>28</v>
      </c>
      <c r="F1437">
        <v>6</v>
      </c>
      <c r="G1437">
        <v>165</v>
      </c>
      <c r="H1437">
        <v>17</v>
      </c>
      <c r="I1437">
        <v>1415</v>
      </c>
      <c r="J1437">
        <v>644</v>
      </c>
      <c r="K1437">
        <v>362</v>
      </c>
      <c r="L1437">
        <v>579</v>
      </c>
      <c r="M1437">
        <v>2.1201413427561802</v>
      </c>
      <c r="N1437" t="s">
        <v>21</v>
      </c>
      <c r="O1437">
        <v>0</v>
      </c>
    </row>
    <row r="1438" spans="1:15" x14ac:dyDescent="0.35">
      <c r="A1438">
        <v>1437</v>
      </c>
      <c r="B1438" t="s">
        <v>22</v>
      </c>
      <c r="C1438" t="s">
        <v>19</v>
      </c>
      <c r="D1438" s="1">
        <v>45543</v>
      </c>
      <c r="E1438" t="s">
        <v>20</v>
      </c>
      <c r="F1438">
        <v>9</v>
      </c>
      <c r="G1438">
        <v>69</v>
      </c>
      <c r="H1438">
        <v>12</v>
      </c>
      <c r="I1438">
        <v>1972</v>
      </c>
      <c r="J1438">
        <v>389</v>
      </c>
      <c r="K1438">
        <v>552</v>
      </c>
      <c r="L1438">
        <v>135</v>
      </c>
      <c r="M1438">
        <v>1.54563894523326</v>
      </c>
      <c r="N1438" t="s">
        <v>23</v>
      </c>
      <c r="O1438">
        <v>0</v>
      </c>
    </row>
    <row r="1439" spans="1:15" x14ac:dyDescent="0.35">
      <c r="A1439">
        <v>1438</v>
      </c>
      <c r="B1439" t="s">
        <v>15</v>
      </c>
      <c r="C1439" t="s">
        <v>16</v>
      </c>
      <c r="D1439" s="1">
        <v>45403</v>
      </c>
      <c r="E1439" t="s">
        <v>20</v>
      </c>
      <c r="F1439">
        <v>18</v>
      </c>
      <c r="G1439">
        <v>229</v>
      </c>
      <c r="H1439">
        <v>11</v>
      </c>
      <c r="I1439">
        <v>1781</v>
      </c>
      <c r="J1439">
        <v>118</v>
      </c>
      <c r="K1439">
        <v>586</v>
      </c>
      <c r="L1439">
        <v>297</v>
      </c>
      <c r="M1439">
        <v>1.5620437956204301</v>
      </c>
      <c r="N1439" t="s">
        <v>23</v>
      </c>
      <c r="O1439">
        <v>0</v>
      </c>
    </row>
    <row r="1440" spans="1:15" x14ac:dyDescent="0.35">
      <c r="A1440">
        <v>1439</v>
      </c>
      <c r="B1440" t="s">
        <v>22</v>
      </c>
      <c r="C1440" t="s">
        <v>19</v>
      </c>
      <c r="D1440" s="1">
        <v>45403</v>
      </c>
      <c r="E1440" t="s">
        <v>20</v>
      </c>
      <c r="F1440">
        <v>9</v>
      </c>
      <c r="G1440">
        <v>182</v>
      </c>
      <c r="H1440">
        <v>16</v>
      </c>
      <c r="I1440">
        <v>3475</v>
      </c>
      <c r="J1440">
        <v>618</v>
      </c>
      <c r="K1440">
        <v>287</v>
      </c>
      <c r="L1440">
        <v>328</v>
      </c>
      <c r="M1440">
        <v>1.3548201438848899</v>
      </c>
      <c r="N1440" t="s">
        <v>23</v>
      </c>
      <c r="O1440">
        <v>0</v>
      </c>
    </row>
    <row r="1441" spans="1:15" x14ac:dyDescent="0.35">
      <c r="A1441">
        <v>1440</v>
      </c>
      <c r="B1441" t="s">
        <v>22</v>
      </c>
      <c r="C1441" t="s">
        <v>24</v>
      </c>
      <c r="D1441" s="1">
        <v>45566</v>
      </c>
      <c r="E1441" t="s">
        <v>17</v>
      </c>
      <c r="F1441">
        <v>15</v>
      </c>
      <c r="G1441">
        <v>250</v>
      </c>
      <c r="H1441">
        <v>5</v>
      </c>
      <c r="I1441">
        <v>4412</v>
      </c>
      <c r="J1441">
        <v>406</v>
      </c>
      <c r="K1441">
        <v>232</v>
      </c>
      <c r="L1441">
        <v>414</v>
      </c>
      <c r="M1441">
        <v>1.23844061650045</v>
      </c>
      <c r="N1441" t="s">
        <v>23</v>
      </c>
      <c r="O1441">
        <v>0</v>
      </c>
    </row>
    <row r="1442" spans="1:15" x14ac:dyDescent="0.35">
      <c r="A1442">
        <v>1441</v>
      </c>
      <c r="B1442" t="s">
        <v>22</v>
      </c>
      <c r="C1442" t="s">
        <v>24</v>
      </c>
      <c r="D1442" s="1">
        <v>45382</v>
      </c>
      <c r="E1442" t="s">
        <v>20</v>
      </c>
      <c r="F1442">
        <v>11</v>
      </c>
      <c r="G1442">
        <v>70</v>
      </c>
      <c r="H1442">
        <v>12</v>
      </c>
      <c r="I1442">
        <v>3327</v>
      </c>
      <c r="J1442">
        <v>300</v>
      </c>
      <c r="K1442">
        <v>5</v>
      </c>
      <c r="L1442">
        <v>546</v>
      </c>
      <c r="M1442">
        <v>1.25578599338743</v>
      </c>
      <c r="N1442" t="s">
        <v>23</v>
      </c>
      <c r="O1442">
        <v>0</v>
      </c>
    </row>
    <row r="1443" spans="1:15" x14ac:dyDescent="0.35">
      <c r="A1443">
        <v>1442</v>
      </c>
      <c r="B1443" t="s">
        <v>26</v>
      </c>
      <c r="C1443" t="s">
        <v>16</v>
      </c>
      <c r="D1443" s="1">
        <v>45589</v>
      </c>
      <c r="E1443" t="s">
        <v>27</v>
      </c>
      <c r="F1443">
        <v>13</v>
      </c>
      <c r="G1443">
        <v>90</v>
      </c>
      <c r="H1443">
        <v>19</v>
      </c>
      <c r="I1443">
        <v>3475</v>
      </c>
      <c r="J1443">
        <v>433</v>
      </c>
      <c r="K1443">
        <v>422</v>
      </c>
      <c r="L1443">
        <v>194</v>
      </c>
      <c r="M1443">
        <v>1.3018705035971201</v>
      </c>
      <c r="N1443" t="s">
        <v>23</v>
      </c>
      <c r="O1443">
        <v>0</v>
      </c>
    </row>
    <row r="1444" spans="1:15" x14ac:dyDescent="0.35">
      <c r="A1444">
        <v>1443</v>
      </c>
      <c r="B1444" t="s">
        <v>15</v>
      </c>
      <c r="C1444" t="s">
        <v>24</v>
      </c>
      <c r="D1444" s="1">
        <v>45549</v>
      </c>
      <c r="E1444" t="s">
        <v>28</v>
      </c>
      <c r="F1444">
        <v>13</v>
      </c>
      <c r="G1444">
        <v>105</v>
      </c>
      <c r="H1444">
        <v>18</v>
      </c>
      <c r="I1444">
        <v>709</v>
      </c>
      <c r="J1444">
        <v>618</v>
      </c>
      <c r="K1444">
        <v>586</v>
      </c>
      <c r="L1444">
        <v>419</v>
      </c>
      <c r="M1444">
        <v>3.2891396332863101</v>
      </c>
      <c r="N1444" t="s">
        <v>18</v>
      </c>
      <c r="O1444">
        <v>1</v>
      </c>
    </row>
    <row r="1445" spans="1:15" x14ac:dyDescent="0.35">
      <c r="A1445">
        <v>1444</v>
      </c>
      <c r="B1445" t="s">
        <v>26</v>
      </c>
      <c r="C1445" t="s">
        <v>24</v>
      </c>
      <c r="D1445" s="1">
        <v>45533</v>
      </c>
      <c r="E1445" t="s">
        <v>27</v>
      </c>
      <c r="F1445">
        <v>23</v>
      </c>
      <c r="G1445">
        <v>281</v>
      </c>
      <c r="H1445">
        <v>6</v>
      </c>
      <c r="I1445">
        <v>795</v>
      </c>
      <c r="J1445">
        <v>384</v>
      </c>
      <c r="K1445">
        <v>25</v>
      </c>
      <c r="L1445">
        <v>616</v>
      </c>
      <c r="M1445">
        <v>2.28930817610062</v>
      </c>
      <c r="N1445" t="s">
        <v>21</v>
      </c>
      <c r="O1445">
        <v>0</v>
      </c>
    </row>
    <row r="1446" spans="1:15" x14ac:dyDescent="0.35">
      <c r="A1446">
        <v>1445</v>
      </c>
      <c r="B1446" t="s">
        <v>22</v>
      </c>
      <c r="C1446" t="s">
        <v>19</v>
      </c>
      <c r="D1446" s="1">
        <v>45374</v>
      </c>
      <c r="E1446" t="s">
        <v>28</v>
      </c>
      <c r="F1446">
        <v>12</v>
      </c>
      <c r="G1446">
        <v>185</v>
      </c>
      <c r="H1446">
        <v>4</v>
      </c>
      <c r="I1446">
        <v>3800</v>
      </c>
      <c r="J1446">
        <v>382</v>
      </c>
      <c r="K1446">
        <v>247</v>
      </c>
      <c r="L1446">
        <v>180</v>
      </c>
      <c r="M1446">
        <v>1.2128947368420999</v>
      </c>
      <c r="N1446" t="s">
        <v>23</v>
      </c>
      <c r="O1446">
        <v>0</v>
      </c>
    </row>
    <row r="1447" spans="1:15" x14ac:dyDescent="0.35">
      <c r="A1447">
        <v>1446</v>
      </c>
      <c r="B1447" t="s">
        <v>22</v>
      </c>
      <c r="C1447" t="s">
        <v>24</v>
      </c>
      <c r="D1447" s="1">
        <v>45442</v>
      </c>
      <c r="E1447" t="s">
        <v>27</v>
      </c>
      <c r="F1447">
        <v>13</v>
      </c>
      <c r="G1447">
        <v>247</v>
      </c>
      <c r="H1447">
        <v>7</v>
      </c>
      <c r="I1447">
        <v>580</v>
      </c>
      <c r="J1447">
        <v>36</v>
      </c>
      <c r="K1447">
        <v>213</v>
      </c>
      <c r="L1447">
        <v>592</v>
      </c>
      <c r="M1447">
        <v>2.4500000000000002</v>
      </c>
      <c r="N1447" t="s">
        <v>18</v>
      </c>
      <c r="O1447">
        <v>0</v>
      </c>
    </row>
    <row r="1448" spans="1:15" x14ac:dyDescent="0.35">
      <c r="A1448">
        <v>1447</v>
      </c>
      <c r="B1448" t="s">
        <v>22</v>
      </c>
      <c r="C1448" t="s">
        <v>16</v>
      </c>
      <c r="D1448" s="1">
        <v>45382</v>
      </c>
      <c r="E1448" t="s">
        <v>20</v>
      </c>
      <c r="F1448">
        <v>13</v>
      </c>
      <c r="G1448">
        <v>256</v>
      </c>
      <c r="H1448">
        <v>2</v>
      </c>
      <c r="I1448">
        <v>3829</v>
      </c>
      <c r="J1448">
        <v>517</v>
      </c>
      <c r="K1448">
        <v>115</v>
      </c>
      <c r="L1448">
        <v>619</v>
      </c>
      <c r="M1448">
        <v>1.3267171585270301</v>
      </c>
      <c r="N1448" t="s">
        <v>23</v>
      </c>
      <c r="O1448">
        <v>0</v>
      </c>
    </row>
    <row r="1449" spans="1:15" x14ac:dyDescent="0.35">
      <c r="A1449">
        <v>1448</v>
      </c>
      <c r="B1449" t="s">
        <v>22</v>
      </c>
      <c r="C1449" t="s">
        <v>24</v>
      </c>
      <c r="D1449" s="1">
        <v>45295</v>
      </c>
      <c r="E1449" t="s">
        <v>27</v>
      </c>
      <c r="F1449">
        <v>8</v>
      </c>
      <c r="G1449">
        <v>233</v>
      </c>
      <c r="H1449">
        <v>8</v>
      </c>
      <c r="I1449">
        <v>314</v>
      </c>
      <c r="J1449">
        <v>703</v>
      </c>
      <c r="K1449">
        <v>418</v>
      </c>
      <c r="L1449">
        <v>533</v>
      </c>
      <c r="M1449">
        <v>6.2675159235668696</v>
      </c>
      <c r="N1449" t="s">
        <v>18</v>
      </c>
      <c r="O1449">
        <v>0</v>
      </c>
    </row>
    <row r="1450" spans="1:15" x14ac:dyDescent="0.35">
      <c r="A1450">
        <v>1449</v>
      </c>
      <c r="B1450" t="s">
        <v>22</v>
      </c>
      <c r="C1450" t="s">
        <v>24</v>
      </c>
      <c r="D1450" s="1">
        <v>45567</v>
      </c>
      <c r="E1450" t="s">
        <v>25</v>
      </c>
      <c r="F1450">
        <v>7</v>
      </c>
      <c r="G1450">
        <v>169</v>
      </c>
      <c r="H1450">
        <v>12</v>
      </c>
      <c r="I1450">
        <v>1041</v>
      </c>
      <c r="J1450">
        <v>737</v>
      </c>
      <c r="K1450">
        <v>548</v>
      </c>
      <c r="L1450">
        <v>25</v>
      </c>
      <c r="M1450">
        <v>2.25840537944284</v>
      </c>
      <c r="N1450" t="s">
        <v>21</v>
      </c>
      <c r="O1450">
        <v>1</v>
      </c>
    </row>
    <row r="1451" spans="1:15" x14ac:dyDescent="0.35">
      <c r="A1451">
        <v>1450</v>
      </c>
      <c r="B1451" t="s">
        <v>26</v>
      </c>
      <c r="C1451" t="s">
        <v>24</v>
      </c>
      <c r="D1451" s="1">
        <v>45312</v>
      </c>
      <c r="E1451" t="s">
        <v>20</v>
      </c>
      <c r="F1451">
        <v>19</v>
      </c>
      <c r="G1451">
        <v>83</v>
      </c>
      <c r="H1451">
        <v>3</v>
      </c>
      <c r="I1451">
        <v>3026</v>
      </c>
      <c r="J1451">
        <v>414</v>
      </c>
      <c r="K1451">
        <v>525</v>
      </c>
      <c r="L1451">
        <v>645</v>
      </c>
      <c r="M1451">
        <v>1.5234633179114301</v>
      </c>
      <c r="N1451" t="s">
        <v>23</v>
      </c>
      <c r="O1451">
        <v>0</v>
      </c>
    </row>
    <row r="1452" spans="1:15" x14ac:dyDescent="0.35">
      <c r="A1452">
        <v>1451</v>
      </c>
      <c r="B1452" t="s">
        <v>26</v>
      </c>
      <c r="C1452" t="s">
        <v>16</v>
      </c>
      <c r="D1452" s="1">
        <v>45366</v>
      </c>
      <c r="E1452" t="s">
        <v>30</v>
      </c>
      <c r="F1452">
        <v>17</v>
      </c>
      <c r="G1452">
        <v>231</v>
      </c>
      <c r="H1452">
        <v>10</v>
      </c>
      <c r="I1452">
        <v>2200</v>
      </c>
      <c r="J1452">
        <v>781</v>
      </c>
      <c r="K1452">
        <v>595</v>
      </c>
      <c r="L1452">
        <v>115</v>
      </c>
      <c r="M1452">
        <v>1.6777272727272701</v>
      </c>
      <c r="N1452" t="s">
        <v>21</v>
      </c>
      <c r="O1452">
        <v>0</v>
      </c>
    </row>
    <row r="1453" spans="1:15" x14ac:dyDescent="0.35">
      <c r="A1453">
        <v>1452</v>
      </c>
      <c r="B1453" t="s">
        <v>15</v>
      </c>
      <c r="C1453" t="s">
        <v>24</v>
      </c>
      <c r="D1453" s="1">
        <v>45364</v>
      </c>
      <c r="E1453" t="s">
        <v>25</v>
      </c>
      <c r="F1453">
        <v>8</v>
      </c>
      <c r="G1453">
        <v>254</v>
      </c>
      <c r="H1453">
        <v>15</v>
      </c>
      <c r="I1453">
        <v>2041</v>
      </c>
      <c r="J1453">
        <v>499</v>
      </c>
      <c r="K1453">
        <v>217</v>
      </c>
      <c r="L1453">
        <v>271</v>
      </c>
      <c r="M1453">
        <v>1.4835864772170499</v>
      </c>
      <c r="N1453" t="s">
        <v>23</v>
      </c>
      <c r="O1453">
        <v>0</v>
      </c>
    </row>
    <row r="1454" spans="1:15" x14ac:dyDescent="0.35">
      <c r="A1454">
        <v>1453</v>
      </c>
      <c r="B1454" t="s">
        <v>22</v>
      </c>
      <c r="C1454" t="s">
        <v>24</v>
      </c>
      <c r="D1454" s="1">
        <v>45417</v>
      </c>
      <c r="E1454" t="s">
        <v>20</v>
      </c>
      <c r="F1454">
        <v>14</v>
      </c>
      <c r="G1454">
        <v>160</v>
      </c>
      <c r="H1454">
        <v>19</v>
      </c>
      <c r="I1454">
        <v>2179</v>
      </c>
      <c r="J1454">
        <v>355</v>
      </c>
      <c r="K1454">
        <v>304</v>
      </c>
      <c r="L1454">
        <v>456</v>
      </c>
      <c r="M1454">
        <v>1.51170261587884</v>
      </c>
      <c r="N1454" t="s">
        <v>23</v>
      </c>
      <c r="O1454">
        <v>0</v>
      </c>
    </row>
    <row r="1455" spans="1:15" x14ac:dyDescent="0.35">
      <c r="A1455">
        <v>1454</v>
      </c>
      <c r="B1455" t="s">
        <v>15</v>
      </c>
      <c r="C1455" t="s">
        <v>16</v>
      </c>
      <c r="D1455" s="1">
        <v>45310</v>
      </c>
      <c r="E1455" t="s">
        <v>30</v>
      </c>
      <c r="F1455">
        <v>17</v>
      </c>
      <c r="G1455">
        <v>205</v>
      </c>
      <c r="H1455">
        <v>9</v>
      </c>
      <c r="I1455">
        <v>1197</v>
      </c>
      <c r="J1455">
        <v>156</v>
      </c>
      <c r="K1455">
        <v>536</v>
      </c>
      <c r="L1455">
        <v>296</v>
      </c>
      <c r="M1455">
        <v>1.82539682539682</v>
      </c>
      <c r="N1455" t="s">
        <v>21</v>
      </c>
      <c r="O1455">
        <v>0</v>
      </c>
    </row>
    <row r="1456" spans="1:15" x14ac:dyDescent="0.35">
      <c r="A1456">
        <v>1455</v>
      </c>
      <c r="B1456" t="s">
        <v>26</v>
      </c>
      <c r="C1456" t="s">
        <v>24</v>
      </c>
      <c r="D1456" s="1">
        <v>45449</v>
      </c>
      <c r="E1456" t="s">
        <v>27</v>
      </c>
      <c r="F1456">
        <v>15</v>
      </c>
      <c r="G1456">
        <v>99</v>
      </c>
      <c r="H1456">
        <v>4</v>
      </c>
      <c r="I1456">
        <v>1346</v>
      </c>
      <c r="J1456">
        <v>586</v>
      </c>
      <c r="K1456">
        <v>314</v>
      </c>
      <c r="L1456">
        <v>487</v>
      </c>
      <c r="M1456">
        <v>2.0304606240713201</v>
      </c>
      <c r="N1456" t="s">
        <v>21</v>
      </c>
      <c r="O1456">
        <v>0</v>
      </c>
    </row>
    <row r="1457" spans="1:15" x14ac:dyDescent="0.35">
      <c r="A1457">
        <v>1456</v>
      </c>
      <c r="B1457" t="s">
        <v>15</v>
      </c>
      <c r="C1457" t="s">
        <v>16</v>
      </c>
      <c r="D1457" s="1">
        <v>45367</v>
      </c>
      <c r="E1457" t="s">
        <v>28</v>
      </c>
      <c r="F1457">
        <v>12</v>
      </c>
      <c r="G1457">
        <v>175</v>
      </c>
      <c r="H1457">
        <v>4</v>
      </c>
      <c r="I1457">
        <v>2444</v>
      </c>
      <c r="J1457">
        <v>398</v>
      </c>
      <c r="K1457">
        <v>265</v>
      </c>
      <c r="L1457">
        <v>653</v>
      </c>
      <c r="M1457">
        <v>1.5384615384615301</v>
      </c>
      <c r="N1457" t="s">
        <v>23</v>
      </c>
      <c r="O1457">
        <v>0</v>
      </c>
    </row>
    <row r="1458" spans="1:15" x14ac:dyDescent="0.35">
      <c r="A1458">
        <v>1457</v>
      </c>
      <c r="B1458" t="s">
        <v>26</v>
      </c>
      <c r="C1458" t="s">
        <v>19</v>
      </c>
      <c r="D1458" s="1">
        <v>45591</v>
      </c>
      <c r="E1458" t="s">
        <v>28</v>
      </c>
      <c r="F1458">
        <v>18</v>
      </c>
      <c r="G1458">
        <v>264</v>
      </c>
      <c r="H1458">
        <v>19</v>
      </c>
      <c r="I1458">
        <v>148</v>
      </c>
      <c r="J1458">
        <v>270</v>
      </c>
      <c r="K1458">
        <v>374</v>
      </c>
      <c r="L1458">
        <v>521</v>
      </c>
      <c r="M1458">
        <v>8.8716216216216193</v>
      </c>
      <c r="N1458" t="s">
        <v>18</v>
      </c>
      <c r="O1458">
        <v>0</v>
      </c>
    </row>
    <row r="1459" spans="1:15" x14ac:dyDescent="0.35">
      <c r="A1459">
        <v>1458</v>
      </c>
      <c r="B1459" t="s">
        <v>26</v>
      </c>
      <c r="C1459" t="s">
        <v>24</v>
      </c>
      <c r="D1459" s="1">
        <v>45379</v>
      </c>
      <c r="E1459" t="s">
        <v>27</v>
      </c>
      <c r="F1459">
        <v>22</v>
      </c>
      <c r="G1459">
        <v>211</v>
      </c>
      <c r="H1459">
        <v>12</v>
      </c>
      <c r="I1459">
        <v>2869</v>
      </c>
      <c r="J1459">
        <v>664</v>
      </c>
      <c r="K1459">
        <v>161</v>
      </c>
      <c r="L1459">
        <v>602</v>
      </c>
      <c r="M1459">
        <v>1.49738584872777</v>
      </c>
      <c r="N1459" t="s">
        <v>23</v>
      </c>
      <c r="O1459">
        <v>0</v>
      </c>
    </row>
    <row r="1460" spans="1:15" x14ac:dyDescent="0.35">
      <c r="A1460">
        <v>1459</v>
      </c>
      <c r="B1460" t="s">
        <v>22</v>
      </c>
      <c r="C1460" t="s">
        <v>24</v>
      </c>
      <c r="D1460" s="1">
        <v>45540</v>
      </c>
      <c r="E1460" t="s">
        <v>27</v>
      </c>
      <c r="F1460">
        <v>6</v>
      </c>
      <c r="G1460">
        <v>53</v>
      </c>
      <c r="H1460">
        <v>10</v>
      </c>
      <c r="I1460">
        <v>1435</v>
      </c>
      <c r="J1460">
        <v>542</v>
      </c>
      <c r="K1460">
        <v>495</v>
      </c>
      <c r="L1460">
        <v>180</v>
      </c>
      <c r="M1460">
        <v>1.84808362369338</v>
      </c>
      <c r="N1460" t="s">
        <v>21</v>
      </c>
      <c r="O1460">
        <v>0</v>
      </c>
    </row>
    <row r="1461" spans="1:15" x14ac:dyDescent="0.35">
      <c r="A1461">
        <v>1460</v>
      </c>
      <c r="B1461" t="s">
        <v>22</v>
      </c>
      <c r="C1461" t="s">
        <v>19</v>
      </c>
      <c r="D1461" s="1">
        <v>45407</v>
      </c>
      <c r="E1461" t="s">
        <v>27</v>
      </c>
      <c r="F1461">
        <v>9</v>
      </c>
      <c r="G1461">
        <v>120</v>
      </c>
      <c r="H1461">
        <v>11</v>
      </c>
      <c r="I1461">
        <v>2583</v>
      </c>
      <c r="J1461">
        <v>216</v>
      </c>
      <c r="K1461">
        <v>231</v>
      </c>
      <c r="L1461">
        <v>154</v>
      </c>
      <c r="M1461">
        <v>1.2326751838946901</v>
      </c>
      <c r="N1461" t="s">
        <v>23</v>
      </c>
      <c r="O1461">
        <v>0</v>
      </c>
    </row>
    <row r="1462" spans="1:15" x14ac:dyDescent="0.35">
      <c r="A1462">
        <v>1461</v>
      </c>
      <c r="B1462" t="s">
        <v>15</v>
      </c>
      <c r="C1462" t="s">
        <v>19</v>
      </c>
      <c r="D1462" s="1">
        <v>45547</v>
      </c>
      <c r="E1462" t="s">
        <v>27</v>
      </c>
      <c r="F1462">
        <v>12</v>
      </c>
      <c r="G1462">
        <v>206</v>
      </c>
      <c r="H1462">
        <v>1</v>
      </c>
      <c r="I1462">
        <v>3812</v>
      </c>
      <c r="J1462">
        <v>588</v>
      </c>
      <c r="K1462">
        <v>14</v>
      </c>
      <c r="L1462">
        <v>537</v>
      </c>
      <c r="M1462">
        <v>1.29879328436516</v>
      </c>
      <c r="N1462" t="s">
        <v>23</v>
      </c>
      <c r="O1462">
        <v>0</v>
      </c>
    </row>
    <row r="1463" spans="1:15" x14ac:dyDescent="0.35">
      <c r="A1463">
        <v>1462</v>
      </c>
      <c r="B1463" t="s">
        <v>22</v>
      </c>
      <c r="C1463" t="s">
        <v>19</v>
      </c>
      <c r="D1463" s="1">
        <v>45496</v>
      </c>
      <c r="E1463" t="s">
        <v>17</v>
      </c>
      <c r="F1463">
        <v>23</v>
      </c>
      <c r="G1463">
        <v>295</v>
      </c>
      <c r="H1463">
        <v>2</v>
      </c>
      <c r="I1463">
        <v>859</v>
      </c>
      <c r="J1463">
        <v>342</v>
      </c>
      <c r="K1463">
        <v>521</v>
      </c>
      <c r="L1463">
        <v>69</v>
      </c>
      <c r="M1463">
        <v>2.0849825378346898</v>
      </c>
      <c r="N1463" t="s">
        <v>21</v>
      </c>
      <c r="O1463">
        <v>0</v>
      </c>
    </row>
    <row r="1464" spans="1:15" x14ac:dyDescent="0.35">
      <c r="A1464">
        <v>1463</v>
      </c>
      <c r="B1464" t="s">
        <v>15</v>
      </c>
      <c r="C1464" t="s">
        <v>24</v>
      </c>
      <c r="D1464" s="1">
        <v>45320</v>
      </c>
      <c r="E1464" t="s">
        <v>29</v>
      </c>
      <c r="F1464">
        <v>11</v>
      </c>
      <c r="G1464">
        <v>145</v>
      </c>
      <c r="H1464">
        <v>7</v>
      </c>
      <c r="I1464">
        <v>3708</v>
      </c>
      <c r="J1464">
        <v>585</v>
      </c>
      <c r="K1464">
        <v>537</v>
      </c>
      <c r="L1464">
        <v>254</v>
      </c>
      <c r="M1464">
        <v>1.3710895361380799</v>
      </c>
      <c r="N1464" t="s">
        <v>23</v>
      </c>
      <c r="O1464">
        <v>0</v>
      </c>
    </row>
    <row r="1465" spans="1:15" x14ac:dyDescent="0.35">
      <c r="A1465">
        <v>1464</v>
      </c>
      <c r="B1465" t="s">
        <v>22</v>
      </c>
      <c r="C1465" t="s">
        <v>16</v>
      </c>
      <c r="D1465" s="1">
        <v>45525</v>
      </c>
      <c r="E1465" t="s">
        <v>25</v>
      </c>
      <c r="F1465">
        <v>12</v>
      </c>
      <c r="G1465">
        <v>52</v>
      </c>
      <c r="H1465">
        <v>4</v>
      </c>
      <c r="I1465">
        <v>1503</v>
      </c>
      <c r="J1465">
        <v>46</v>
      </c>
      <c r="K1465">
        <v>274</v>
      </c>
      <c r="L1465">
        <v>566</v>
      </c>
      <c r="M1465">
        <v>1.5894876912840901</v>
      </c>
      <c r="N1465" t="s">
        <v>23</v>
      </c>
      <c r="O1465">
        <v>0</v>
      </c>
    </row>
    <row r="1466" spans="1:15" x14ac:dyDescent="0.35">
      <c r="A1466">
        <v>1465</v>
      </c>
      <c r="B1466" t="s">
        <v>15</v>
      </c>
      <c r="C1466" t="s">
        <v>19</v>
      </c>
      <c r="D1466" s="1">
        <v>45559</v>
      </c>
      <c r="E1466" t="s">
        <v>17</v>
      </c>
      <c r="F1466">
        <v>21</v>
      </c>
      <c r="G1466">
        <v>257</v>
      </c>
      <c r="H1466">
        <v>3</v>
      </c>
      <c r="I1466">
        <v>2530</v>
      </c>
      <c r="J1466">
        <v>67</v>
      </c>
      <c r="K1466">
        <v>214</v>
      </c>
      <c r="L1466">
        <v>234</v>
      </c>
      <c r="M1466">
        <v>1.2035573122529599</v>
      </c>
      <c r="N1466" t="s">
        <v>23</v>
      </c>
      <c r="O1466">
        <v>0</v>
      </c>
    </row>
    <row r="1467" spans="1:15" x14ac:dyDescent="0.35">
      <c r="A1467">
        <v>1466</v>
      </c>
      <c r="B1467" t="s">
        <v>22</v>
      </c>
      <c r="C1467" t="s">
        <v>16</v>
      </c>
      <c r="D1467" s="1">
        <v>45566</v>
      </c>
      <c r="E1467" t="s">
        <v>17</v>
      </c>
      <c r="F1467">
        <v>20</v>
      </c>
      <c r="G1467">
        <v>62</v>
      </c>
      <c r="H1467">
        <v>15</v>
      </c>
      <c r="I1467">
        <v>468</v>
      </c>
      <c r="J1467">
        <v>331</v>
      </c>
      <c r="K1467">
        <v>76</v>
      </c>
      <c r="L1467">
        <v>202</v>
      </c>
      <c r="M1467">
        <v>2.3012820512820502</v>
      </c>
      <c r="N1467" t="s">
        <v>21</v>
      </c>
      <c r="O1467">
        <v>0</v>
      </c>
    </row>
    <row r="1468" spans="1:15" x14ac:dyDescent="0.35">
      <c r="A1468">
        <v>1467</v>
      </c>
      <c r="B1468" t="s">
        <v>22</v>
      </c>
      <c r="C1468" t="s">
        <v>24</v>
      </c>
      <c r="D1468" s="1">
        <v>45393</v>
      </c>
      <c r="E1468" t="s">
        <v>27</v>
      </c>
      <c r="F1468">
        <v>6</v>
      </c>
      <c r="G1468">
        <v>240</v>
      </c>
      <c r="H1468">
        <v>3</v>
      </c>
      <c r="I1468">
        <v>868</v>
      </c>
      <c r="J1468">
        <v>560</v>
      </c>
      <c r="K1468">
        <v>222</v>
      </c>
      <c r="L1468">
        <v>613</v>
      </c>
      <c r="M1468">
        <v>2.6071428571428501</v>
      </c>
      <c r="N1468" t="s">
        <v>18</v>
      </c>
      <c r="O1468">
        <v>0</v>
      </c>
    </row>
    <row r="1469" spans="1:15" x14ac:dyDescent="0.35">
      <c r="A1469">
        <v>1468</v>
      </c>
      <c r="B1469" t="s">
        <v>22</v>
      </c>
      <c r="C1469" t="s">
        <v>24</v>
      </c>
      <c r="D1469" s="1">
        <v>45518</v>
      </c>
      <c r="E1469" t="s">
        <v>25</v>
      </c>
      <c r="F1469">
        <v>14</v>
      </c>
      <c r="G1469">
        <v>272</v>
      </c>
      <c r="H1469">
        <v>20</v>
      </c>
      <c r="I1469">
        <v>1645</v>
      </c>
      <c r="J1469">
        <v>608</v>
      </c>
      <c r="K1469">
        <v>469</v>
      </c>
      <c r="L1469">
        <v>1</v>
      </c>
      <c r="M1469">
        <v>1.65531914893617</v>
      </c>
      <c r="N1469" t="s">
        <v>21</v>
      </c>
      <c r="O1469">
        <v>0</v>
      </c>
    </row>
    <row r="1470" spans="1:15" x14ac:dyDescent="0.35">
      <c r="A1470">
        <v>1469</v>
      </c>
      <c r="B1470" t="s">
        <v>22</v>
      </c>
      <c r="C1470" t="s">
        <v>19</v>
      </c>
      <c r="D1470" s="1">
        <v>45382</v>
      </c>
      <c r="E1470" t="s">
        <v>20</v>
      </c>
      <c r="F1470">
        <v>15</v>
      </c>
      <c r="G1470">
        <v>155</v>
      </c>
      <c r="H1470">
        <v>17</v>
      </c>
      <c r="I1470">
        <v>2742</v>
      </c>
      <c r="J1470">
        <v>524</v>
      </c>
      <c r="K1470">
        <v>496</v>
      </c>
      <c r="L1470">
        <v>527</v>
      </c>
      <c r="M1470">
        <v>1.56418672501823</v>
      </c>
      <c r="N1470" t="s">
        <v>23</v>
      </c>
      <c r="O1470">
        <v>0</v>
      </c>
    </row>
    <row r="1471" spans="1:15" x14ac:dyDescent="0.35">
      <c r="A1471">
        <v>1470</v>
      </c>
      <c r="B1471" t="s">
        <v>22</v>
      </c>
      <c r="C1471" t="s">
        <v>19</v>
      </c>
      <c r="D1471" s="1">
        <v>45419</v>
      </c>
      <c r="E1471" t="s">
        <v>17</v>
      </c>
      <c r="F1471">
        <v>20</v>
      </c>
      <c r="G1471">
        <v>77</v>
      </c>
      <c r="H1471">
        <v>5</v>
      </c>
      <c r="I1471">
        <v>2844</v>
      </c>
      <c r="J1471">
        <v>286</v>
      </c>
      <c r="K1471">
        <v>576</v>
      </c>
      <c r="L1471">
        <v>516</v>
      </c>
      <c r="M1471">
        <v>1.4845288326300901</v>
      </c>
      <c r="N1471" t="s">
        <v>23</v>
      </c>
      <c r="O1471">
        <v>0</v>
      </c>
    </row>
    <row r="1472" spans="1:15" x14ac:dyDescent="0.35">
      <c r="A1472">
        <v>1471</v>
      </c>
      <c r="B1472" t="s">
        <v>22</v>
      </c>
      <c r="C1472" t="s">
        <v>16</v>
      </c>
      <c r="D1472" s="1">
        <v>45541</v>
      </c>
      <c r="E1472" t="s">
        <v>30</v>
      </c>
      <c r="F1472">
        <v>11</v>
      </c>
      <c r="G1472">
        <v>53</v>
      </c>
      <c r="H1472">
        <v>13</v>
      </c>
      <c r="I1472">
        <v>103</v>
      </c>
      <c r="J1472">
        <v>331</v>
      </c>
      <c r="K1472">
        <v>523</v>
      </c>
      <c r="L1472">
        <v>482</v>
      </c>
      <c r="M1472">
        <v>13.970873786407701</v>
      </c>
      <c r="N1472" t="s">
        <v>18</v>
      </c>
      <c r="O1472">
        <v>0</v>
      </c>
    </row>
    <row r="1473" spans="1:15" x14ac:dyDescent="0.35">
      <c r="A1473">
        <v>1472</v>
      </c>
      <c r="B1473" t="s">
        <v>26</v>
      </c>
      <c r="C1473" t="s">
        <v>19</v>
      </c>
      <c r="D1473" s="1">
        <v>45447</v>
      </c>
      <c r="E1473" t="s">
        <v>17</v>
      </c>
      <c r="F1473">
        <v>11</v>
      </c>
      <c r="G1473">
        <v>119</v>
      </c>
      <c r="H1473">
        <v>3</v>
      </c>
      <c r="I1473">
        <v>824</v>
      </c>
      <c r="J1473">
        <v>458</v>
      </c>
      <c r="K1473">
        <v>352</v>
      </c>
      <c r="L1473">
        <v>654</v>
      </c>
      <c r="M1473">
        <v>2.7766990291262101</v>
      </c>
      <c r="N1473" t="s">
        <v>18</v>
      </c>
      <c r="O1473">
        <v>0</v>
      </c>
    </row>
    <row r="1474" spans="1:15" x14ac:dyDescent="0.35">
      <c r="A1474">
        <v>1473</v>
      </c>
      <c r="B1474" t="s">
        <v>22</v>
      </c>
      <c r="C1474" t="s">
        <v>19</v>
      </c>
      <c r="D1474" s="1">
        <v>45410</v>
      </c>
      <c r="E1474" t="s">
        <v>20</v>
      </c>
      <c r="F1474">
        <v>21</v>
      </c>
      <c r="G1474">
        <v>72</v>
      </c>
      <c r="H1474">
        <v>9</v>
      </c>
      <c r="I1474">
        <v>1796</v>
      </c>
      <c r="J1474">
        <v>319</v>
      </c>
      <c r="K1474">
        <v>515</v>
      </c>
      <c r="L1474">
        <v>313</v>
      </c>
      <c r="M1474">
        <v>1.6386414253897501</v>
      </c>
      <c r="N1474" t="s">
        <v>21</v>
      </c>
      <c r="O1474">
        <v>0</v>
      </c>
    </row>
    <row r="1475" spans="1:15" x14ac:dyDescent="0.35">
      <c r="A1475">
        <v>1474</v>
      </c>
      <c r="B1475" t="s">
        <v>15</v>
      </c>
      <c r="C1475" t="s">
        <v>16</v>
      </c>
      <c r="D1475" s="1">
        <v>45399</v>
      </c>
      <c r="E1475" t="s">
        <v>25</v>
      </c>
      <c r="F1475">
        <v>18</v>
      </c>
      <c r="G1475">
        <v>107</v>
      </c>
      <c r="H1475">
        <v>5</v>
      </c>
      <c r="I1475">
        <v>4727</v>
      </c>
      <c r="J1475">
        <v>693</v>
      </c>
      <c r="K1475">
        <v>160</v>
      </c>
      <c r="L1475">
        <v>332</v>
      </c>
      <c r="M1475">
        <v>1.25068753966575</v>
      </c>
      <c r="N1475" t="s">
        <v>23</v>
      </c>
      <c r="O1475">
        <v>0</v>
      </c>
    </row>
    <row r="1476" spans="1:15" x14ac:dyDescent="0.35">
      <c r="A1476">
        <v>1475</v>
      </c>
      <c r="B1476" t="s">
        <v>26</v>
      </c>
      <c r="C1476" t="s">
        <v>24</v>
      </c>
      <c r="D1476" s="1">
        <v>45372</v>
      </c>
      <c r="E1476" t="s">
        <v>27</v>
      </c>
      <c r="F1476">
        <v>14</v>
      </c>
      <c r="G1476">
        <v>137</v>
      </c>
      <c r="H1476">
        <v>8</v>
      </c>
      <c r="I1476">
        <v>2717</v>
      </c>
      <c r="J1476">
        <v>533</v>
      </c>
      <c r="K1476">
        <v>487</v>
      </c>
      <c r="L1476">
        <v>670</v>
      </c>
      <c r="M1476">
        <v>1.6220095693779899</v>
      </c>
      <c r="N1476" t="s">
        <v>21</v>
      </c>
      <c r="O1476">
        <v>0</v>
      </c>
    </row>
    <row r="1477" spans="1:15" x14ac:dyDescent="0.35">
      <c r="A1477">
        <v>1476</v>
      </c>
      <c r="B1477" t="s">
        <v>22</v>
      </c>
      <c r="C1477" t="s">
        <v>19</v>
      </c>
      <c r="D1477" s="1">
        <v>45533</v>
      </c>
      <c r="E1477" t="s">
        <v>27</v>
      </c>
      <c r="F1477">
        <v>17</v>
      </c>
      <c r="G1477">
        <v>181</v>
      </c>
      <c r="H1477">
        <v>14</v>
      </c>
      <c r="I1477">
        <v>2537</v>
      </c>
      <c r="J1477">
        <v>384</v>
      </c>
      <c r="K1477">
        <v>150</v>
      </c>
      <c r="L1477">
        <v>314</v>
      </c>
      <c r="M1477">
        <v>1.33425305478912</v>
      </c>
      <c r="N1477" t="s">
        <v>23</v>
      </c>
      <c r="O1477">
        <v>0</v>
      </c>
    </row>
    <row r="1478" spans="1:15" x14ac:dyDescent="0.35">
      <c r="A1478">
        <v>1477</v>
      </c>
      <c r="B1478" t="s">
        <v>15</v>
      </c>
      <c r="C1478" t="s">
        <v>24</v>
      </c>
      <c r="D1478" s="1">
        <v>45449</v>
      </c>
      <c r="E1478" t="s">
        <v>27</v>
      </c>
      <c r="F1478">
        <v>7</v>
      </c>
      <c r="G1478">
        <v>229</v>
      </c>
      <c r="H1478">
        <v>11</v>
      </c>
      <c r="I1478">
        <v>3534</v>
      </c>
      <c r="J1478">
        <v>581</v>
      </c>
      <c r="K1478">
        <v>404</v>
      </c>
      <c r="L1478">
        <v>428</v>
      </c>
      <c r="M1478">
        <v>1.39983022071307</v>
      </c>
      <c r="N1478" t="s">
        <v>23</v>
      </c>
      <c r="O1478">
        <v>0</v>
      </c>
    </row>
    <row r="1479" spans="1:15" x14ac:dyDescent="0.35">
      <c r="A1479">
        <v>1478</v>
      </c>
      <c r="B1479" t="s">
        <v>26</v>
      </c>
      <c r="C1479" t="s">
        <v>16</v>
      </c>
      <c r="D1479" s="1">
        <v>45363</v>
      </c>
      <c r="E1479" t="s">
        <v>17</v>
      </c>
      <c r="F1479">
        <v>12</v>
      </c>
      <c r="G1479">
        <v>151</v>
      </c>
      <c r="H1479">
        <v>9</v>
      </c>
      <c r="I1479">
        <v>3792</v>
      </c>
      <c r="J1479">
        <v>790</v>
      </c>
      <c r="K1479">
        <v>282</v>
      </c>
      <c r="L1479">
        <v>20</v>
      </c>
      <c r="M1479">
        <v>1.2879746835443</v>
      </c>
      <c r="N1479" t="s">
        <v>23</v>
      </c>
      <c r="O1479">
        <v>0</v>
      </c>
    </row>
    <row r="1480" spans="1:15" x14ac:dyDescent="0.35">
      <c r="A1480">
        <v>1479</v>
      </c>
      <c r="B1480" t="s">
        <v>22</v>
      </c>
      <c r="C1480" t="s">
        <v>19</v>
      </c>
      <c r="D1480" s="1">
        <v>45483</v>
      </c>
      <c r="E1480" t="s">
        <v>25</v>
      </c>
      <c r="F1480">
        <v>23</v>
      </c>
      <c r="G1480">
        <v>122</v>
      </c>
      <c r="H1480">
        <v>6</v>
      </c>
      <c r="I1480">
        <v>243</v>
      </c>
      <c r="J1480">
        <v>334</v>
      </c>
      <c r="K1480">
        <v>439</v>
      </c>
      <c r="L1480">
        <v>392</v>
      </c>
      <c r="M1480">
        <v>5.7942386831275696</v>
      </c>
      <c r="N1480" t="s">
        <v>18</v>
      </c>
      <c r="O1480">
        <v>0</v>
      </c>
    </row>
    <row r="1481" spans="1:15" x14ac:dyDescent="0.35">
      <c r="A1481">
        <v>1480</v>
      </c>
      <c r="B1481" t="s">
        <v>15</v>
      </c>
      <c r="C1481" t="s">
        <v>16</v>
      </c>
      <c r="D1481" s="1">
        <v>45549</v>
      </c>
      <c r="E1481" t="s">
        <v>28</v>
      </c>
      <c r="F1481">
        <v>16</v>
      </c>
      <c r="G1481">
        <v>265</v>
      </c>
      <c r="H1481">
        <v>18</v>
      </c>
      <c r="I1481">
        <v>3655</v>
      </c>
      <c r="J1481">
        <v>285</v>
      </c>
      <c r="K1481">
        <v>111</v>
      </c>
      <c r="L1481">
        <v>77</v>
      </c>
      <c r="M1481">
        <v>1.1294117647058799</v>
      </c>
      <c r="N1481" t="s">
        <v>23</v>
      </c>
      <c r="O1481">
        <v>0</v>
      </c>
    </row>
    <row r="1482" spans="1:15" x14ac:dyDescent="0.35">
      <c r="A1482">
        <v>1481</v>
      </c>
      <c r="B1482" t="s">
        <v>15</v>
      </c>
      <c r="C1482" t="s">
        <v>24</v>
      </c>
      <c r="D1482" s="1">
        <v>45532</v>
      </c>
      <c r="E1482" t="s">
        <v>25</v>
      </c>
      <c r="F1482">
        <v>18</v>
      </c>
      <c r="G1482">
        <v>50</v>
      </c>
      <c r="H1482">
        <v>3</v>
      </c>
      <c r="I1482">
        <v>426</v>
      </c>
      <c r="J1482">
        <v>680</v>
      </c>
      <c r="K1482">
        <v>401</v>
      </c>
      <c r="L1482">
        <v>499</v>
      </c>
      <c r="M1482">
        <v>4.7089201877934199</v>
      </c>
      <c r="N1482" t="s">
        <v>18</v>
      </c>
      <c r="O1482">
        <v>0</v>
      </c>
    </row>
    <row r="1483" spans="1:15" x14ac:dyDescent="0.35">
      <c r="A1483">
        <v>1482</v>
      </c>
      <c r="B1483" t="s">
        <v>22</v>
      </c>
      <c r="C1483" t="s">
        <v>24</v>
      </c>
      <c r="D1483" s="1">
        <v>45320</v>
      </c>
      <c r="E1483" t="s">
        <v>29</v>
      </c>
      <c r="F1483">
        <v>9</v>
      </c>
      <c r="G1483">
        <v>261</v>
      </c>
      <c r="H1483">
        <v>4</v>
      </c>
      <c r="I1483">
        <v>2857</v>
      </c>
      <c r="J1483">
        <v>287</v>
      </c>
      <c r="K1483">
        <v>552</v>
      </c>
      <c r="L1483">
        <v>379</v>
      </c>
      <c r="M1483">
        <v>1.4263213160657999</v>
      </c>
      <c r="N1483" t="s">
        <v>23</v>
      </c>
      <c r="O1483">
        <v>0</v>
      </c>
    </row>
    <row r="1484" spans="1:15" x14ac:dyDescent="0.35">
      <c r="A1484">
        <v>1483</v>
      </c>
      <c r="B1484" t="s">
        <v>15</v>
      </c>
      <c r="C1484" t="s">
        <v>19</v>
      </c>
      <c r="D1484" s="1">
        <v>45329</v>
      </c>
      <c r="E1484" t="s">
        <v>25</v>
      </c>
      <c r="F1484">
        <v>15</v>
      </c>
      <c r="G1484">
        <v>122</v>
      </c>
      <c r="H1484">
        <v>17</v>
      </c>
      <c r="I1484">
        <v>2708</v>
      </c>
      <c r="J1484">
        <v>798</v>
      </c>
      <c r="K1484">
        <v>425</v>
      </c>
      <c r="L1484">
        <v>156</v>
      </c>
      <c r="M1484">
        <v>1.5092319054652801</v>
      </c>
      <c r="N1484" t="s">
        <v>23</v>
      </c>
      <c r="O1484">
        <v>0</v>
      </c>
    </row>
    <row r="1485" spans="1:15" x14ac:dyDescent="0.35">
      <c r="A1485">
        <v>1484</v>
      </c>
      <c r="B1485" t="s">
        <v>26</v>
      </c>
      <c r="C1485" t="s">
        <v>19</v>
      </c>
      <c r="D1485" s="1">
        <v>45337</v>
      </c>
      <c r="E1485" t="s">
        <v>27</v>
      </c>
      <c r="F1485">
        <v>14</v>
      </c>
      <c r="G1485">
        <v>291</v>
      </c>
      <c r="H1485">
        <v>9</v>
      </c>
      <c r="I1485">
        <v>3640</v>
      </c>
      <c r="J1485">
        <v>256</v>
      </c>
      <c r="K1485">
        <v>337</v>
      </c>
      <c r="L1485">
        <v>587</v>
      </c>
      <c r="M1485">
        <v>1.3241758241758199</v>
      </c>
      <c r="N1485" t="s">
        <v>23</v>
      </c>
      <c r="O1485">
        <v>0</v>
      </c>
    </row>
    <row r="1486" spans="1:15" x14ac:dyDescent="0.35">
      <c r="A1486">
        <v>1485</v>
      </c>
      <c r="B1486" t="s">
        <v>22</v>
      </c>
      <c r="C1486" t="s">
        <v>24</v>
      </c>
      <c r="D1486" s="1">
        <v>45303</v>
      </c>
      <c r="E1486" t="s">
        <v>30</v>
      </c>
      <c r="F1486">
        <v>12</v>
      </c>
      <c r="G1486">
        <v>114</v>
      </c>
      <c r="H1486">
        <v>10</v>
      </c>
      <c r="I1486">
        <v>1200</v>
      </c>
      <c r="J1486">
        <v>795</v>
      </c>
      <c r="K1486">
        <v>71</v>
      </c>
      <c r="L1486">
        <v>322</v>
      </c>
      <c r="M1486">
        <v>1.99</v>
      </c>
      <c r="N1486" t="s">
        <v>21</v>
      </c>
      <c r="O1486">
        <v>0</v>
      </c>
    </row>
    <row r="1487" spans="1:15" x14ac:dyDescent="0.35">
      <c r="A1487">
        <v>1486</v>
      </c>
      <c r="B1487" t="s">
        <v>15</v>
      </c>
      <c r="C1487" t="s">
        <v>19</v>
      </c>
      <c r="D1487" s="1">
        <v>45531</v>
      </c>
      <c r="E1487" t="s">
        <v>17</v>
      </c>
      <c r="F1487">
        <v>14</v>
      </c>
      <c r="G1487">
        <v>150</v>
      </c>
      <c r="H1487">
        <v>19</v>
      </c>
      <c r="I1487">
        <v>1915</v>
      </c>
      <c r="J1487">
        <v>476</v>
      </c>
      <c r="K1487">
        <v>372</v>
      </c>
      <c r="L1487">
        <v>342</v>
      </c>
      <c r="M1487">
        <v>1.6214099216710101</v>
      </c>
      <c r="N1487" t="s">
        <v>21</v>
      </c>
      <c r="O1487">
        <v>0</v>
      </c>
    </row>
    <row r="1488" spans="1:15" x14ac:dyDescent="0.35">
      <c r="A1488">
        <v>1487</v>
      </c>
      <c r="B1488" t="s">
        <v>22</v>
      </c>
      <c r="C1488" t="s">
        <v>24</v>
      </c>
      <c r="D1488" s="1">
        <v>45303</v>
      </c>
      <c r="E1488" t="s">
        <v>30</v>
      </c>
      <c r="F1488">
        <v>7</v>
      </c>
      <c r="G1488">
        <v>290</v>
      </c>
      <c r="H1488">
        <v>1</v>
      </c>
      <c r="I1488">
        <v>1199</v>
      </c>
      <c r="J1488">
        <v>127</v>
      </c>
      <c r="K1488">
        <v>422</v>
      </c>
      <c r="L1488">
        <v>438</v>
      </c>
      <c r="M1488">
        <v>1.8231859883235999</v>
      </c>
      <c r="N1488" t="s">
        <v>21</v>
      </c>
      <c r="O1488">
        <v>0</v>
      </c>
    </row>
    <row r="1489" spans="1:15" x14ac:dyDescent="0.35">
      <c r="A1489">
        <v>1488</v>
      </c>
      <c r="B1489" t="s">
        <v>15</v>
      </c>
      <c r="C1489" t="s">
        <v>19</v>
      </c>
      <c r="D1489" s="1">
        <v>45554</v>
      </c>
      <c r="E1489" t="s">
        <v>27</v>
      </c>
      <c r="F1489">
        <v>16</v>
      </c>
      <c r="G1489">
        <v>295</v>
      </c>
      <c r="H1489">
        <v>15</v>
      </c>
      <c r="I1489">
        <v>3109</v>
      </c>
      <c r="J1489">
        <v>21</v>
      </c>
      <c r="K1489">
        <v>581</v>
      </c>
      <c r="L1489">
        <v>448</v>
      </c>
      <c r="M1489">
        <v>1.33772917336764</v>
      </c>
      <c r="N1489" t="s">
        <v>23</v>
      </c>
      <c r="O1489">
        <v>0</v>
      </c>
    </row>
    <row r="1490" spans="1:15" x14ac:dyDescent="0.35">
      <c r="A1490">
        <v>1489</v>
      </c>
      <c r="B1490" t="s">
        <v>26</v>
      </c>
      <c r="C1490" t="s">
        <v>16</v>
      </c>
      <c r="D1490" s="1">
        <v>45436</v>
      </c>
      <c r="E1490" t="s">
        <v>30</v>
      </c>
      <c r="F1490">
        <v>23</v>
      </c>
      <c r="G1490">
        <v>77</v>
      </c>
      <c r="H1490">
        <v>17</v>
      </c>
      <c r="I1490">
        <v>4758</v>
      </c>
      <c r="J1490">
        <v>346</v>
      </c>
      <c r="K1490">
        <v>70</v>
      </c>
      <c r="L1490">
        <v>78</v>
      </c>
      <c r="M1490">
        <v>1.10382513661202</v>
      </c>
      <c r="N1490" t="s">
        <v>23</v>
      </c>
      <c r="O1490">
        <v>0</v>
      </c>
    </row>
    <row r="1491" spans="1:15" x14ac:dyDescent="0.35">
      <c r="A1491">
        <v>1490</v>
      </c>
      <c r="B1491" t="s">
        <v>26</v>
      </c>
      <c r="C1491" t="s">
        <v>19</v>
      </c>
      <c r="D1491" s="1">
        <v>45373</v>
      </c>
      <c r="E1491" t="s">
        <v>30</v>
      </c>
      <c r="F1491">
        <v>12</v>
      </c>
      <c r="G1491">
        <v>57</v>
      </c>
      <c r="H1491">
        <v>13</v>
      </c>
      <c r="I1491">
        <v>4256</v>
      </c>
      <c r="J1491">
        <v>94</v>
      </c>
      <c r="K1491">
        <v>589</v>
      </c>
      <c r="L1491">
        <v>480</v>
      </c>
      <c r="M1491">
        <v>1.27326127819548</v>
      </c>
      <c r="N1491" t="s">
        <v>23</v>
      </c>
      <c r="O1491">
        <v>0</v>
      </c>
    </row>
    <row r="1492" spans="1:15" x14ac:dyDescent="0.35">
      <c r="A1492">
        <v>1491</v>
      </c>
      <c r="B1492" t="s">
        <v>22</v>
      </c>
      <c r="C1492" t="s">
        <v>16</v>
      </c>
      <c r="D1492" s="1">
        <v>45433</v>
      </c>
      <c r="E1492" t="s">
        <v>17</v>
      </c>
      <c r="F1492">
        <v>11</v>
      </c>
      <c r="G1492">
        <v>193</v>
      </c>
      <c r="H1492">
        <v>14</v>
      </c>
      <c r="I1492">
        <v>3865</v>
      </c>
      <c r="J1492">
        <v>467</v>
      </c>
      <c r="K1492">
        <v>157</v>
      </c>
      <c r="L1492">
        <v>667</v>
      </c>
      <c r="M1492">
        <v>1.3340232858990899</v>
      </c>
      <c r="N1492" t="s">
        <v>23</v>
      </c>
      <c r="O1492">
        <v>0</v>
      </c>
    </row>
    <row r="1493" spans="1:15" x14ac:dyDescent="0.35">
      <c r="A1493">
        <v>1492</v>
      </c>
      <c r="B1493" t="s">
        <v>22</v>
      </c>
      <c r="C1493" t="s">
        <v>16</v>
      </c>
      <c r="D1493" s="1">
        <v>45562</v>
      </c>
      <c r="E1493" t="s">
        <v>30</v>
      </c>
      <c r="F1493">
        <v>18</v>
      </c>
      <c r="G1493">
        <v>29</v>
      </c>
      <c r="H1493">
        <v>0</v>
      </c>
      <c r="I1493">
        <v>3592</v>
      </c>
      <c r="J1493">
        <v>26</v>
      </c>
      <c r="K1493">
        <v>413</v>
      </c>
      <c r="L1493">
        <v>589</v>
      </c>
      <c r="M1493">
        <v>1.2861915367483201</v>
      </c>
      <c r="N1493" t="s">
        <v>23</v>
      </c>
      <c r="O1493">
        <v>0</v>
      </c>
    </row>
    <row r="1494" spans="1:15" x14ac:dyDescent="0.35">
      <c r="A1494">
        <v>1493</v>
      </c>
      <c r="B1494" t="s">
        <v>15</v>
      </c>
      <c r="C1494" t="s">
        <v>19</v>
      </c>
      <c r="D1494" s="1">
        <v>45407</v>
      </c>
      <c r="E1494" t="s">
        <v>27</v>
      </c>
      <c r="F1494">
        <v>16</v>
      </c>
      <c r="G1494">
        <v>292</v>
      </c>
      <c r="H1494">
        <v>14</v>
      </c>
      <c r="I1494">
        <v>2690</v>
      </c>
      <c r="J1494">
        <v>442</v>
      </c>
      <c r="K1494">
        <v>156</v>
      </c>
      <c r="L1494">
        <v>266</v>
      </c>
      <c r="M1494">
        <v>1.32118959107806</v>
      </c>
      <c r="N1494" t="s">
        <v>23</v>
      </c>
      <c r="O1494">
        <v>0</v>
      </c>
    </row>
    <row r="1495" spans="1:15" x14ac:dyDescent="0.35">
      <c r="A1495">
        <v>1494</v>
      </c>
      <c r="B1495" t="s">
        <v>15</v>
      </c>
      <c r="C1495" t="s">
        <v>16</v>
      </c>
      <c r="D1495" s="1">
        <v>45394</v>
      </c>
      <c r="E1495" t="s">
        <v>30</v>
      </c>
      <c r="F1495">
        <v>12</v>
      </c>
      <c r="G1495">
        <v>177</v>
      </c>
      <c r="H1495">
        <v>5</v>
      </c>
      <c r="I1495">
        <v>4755</v>
      </c>
      <c r="J1495">
        <v>368</v>
      </c>
      <c r="K1495">
        <v>592</v>
      </c>
      <c r="L1495">
        <v>157</v>
      </c>
      <c r="M1495">
        <v>1.2349106203995699</v>
      </c>
      <c r="N1495" t="s">
        <v>23</v>
      </c>
      <c r="O1495">
        <v>0</v>
      </c>
    </row>
    <row r="1496" spans="1:15" x14ac:dyDescent="0.35">
      <c r="A1496">
        <v>1495</v>
      </c>
      <c r="B1496" t="s">
        <v>26</v>
      </c>
      <c r="C1496" t="s">
        <v>24</v>
      </c>
      <c r="D1496" s="1">
        <v>45343</v>
      </c>
      <c r="E1496" t="s">
        <v>25</v>
      </c>
      <c r="F1496">
        <v>8</v>
      </c>
      <c r="G1496">
        <v>187</v>
      </c>
      <c r="H1496">
        <v>10</v>
      </c>
      <c r="I1496">
        <v>264</v>
      </c>
      <c r="J1496">
        <v>551</v>
      </c>
      <c r="K1496">
        <v>42</v>
      </c>
      <c r="L1496">
        <v>131</v>
      </c>
      <c r="M1496">
        <v>3.74242424242424</v>
      </c>
      <c r="N1496" t="s">
        <v>18</v>
      </c>
      <c r="O1496">
        <v>0</v>
      </c>
    </row>
    <row r="1497" spans="1:15" x14ac:dyDescent="0.35">
      <c r="A1497">
        <v>1496</v>
      </c>
      <c r="B1497" t="s">
        <v>22</v>
      </c>
      <c r="C1497" t="s">
        <v>24</v>
      </c>
      <c r="D1497" s="1">
        <v>45409</v>
      </c>
      <c r="E1497" t="s">
        <v>28</v>
      </c>
      <c r="F1497">
        <v>13</v>
      </c>
      <c r="G1497">
        <v>131</v>
      </c>
      <c r="H1497">
        <v>11</v>
      </c>
      <c r="I1497">
        <v>1760</v>
      </c>
      <c r="J1497">
        <v>211</v>
      </c>
      <c r="K1497">
        <v>312</v>
      </c>
      <c r="L1497">
        <v>168</v>
      </c>
      <c r="M1497">
        <v>1.3926136363636299</v>
      </c>
      <c r="N1497" t="s">
        <v>23</v>
      </c>
      <c r="O1497">
        <v>0</v>
      </c>
    </row>
    <row r="1498" spans="1:15" x14ac:dyDescent="0.35">
      <c r="A1498">
        <v>1497</v>
      </c>
      <c r="B1498" t="s">
        <v>15</v>
      </c>
      <c r="C1498" t="s">
        <v>24</v>
      </c>
      <c r="D1498" s="1">
        <v>45305</v>
      </c>
      <c r="E1498" t="s">
        <v>20</v>
      </c>
      <c r="F1498">
        <v>12</v>
      </c>
      <c r="G1498">
        <v>214</v>
      </c>
      <c r="H1498">
        <v>1</v>
      </c>
      <c r="I1498">
        <v>1174</v>
      </c>
      <c r="J1498">
        <v>455</v>
      </c>
      <c r="K1498">
        <v>128</v>
      </c>
      <c r="L1498">
        <v>385</v>
      </c>
      <c r="M1498">
        <v>1.8245315161839799</v>
      </c>
      <c r="N1498" t="s">
        <v>21</v>
      </c>
      <c r="O1498">
        <v>0</v>
      </c>
    </row>
    <row r="1499" spans="1:15" x14ac:dyDescent="0.35">
      <c r="A1499">
        <v>1498</v>
      </c>
      <c r="B1499" t="s">
        <v>22</v>
      </c>
      <c r="C1499" t="s">
        <v>19</v>
      </c>
      <c r="D1499" s="1">
        <v>45520</v>
      </c>
      <c r="E1499" t="s">
        <v>30</v>
      </c>
      <c r="F1499">
        <v>9</v>
      </c>
      <c r="G1499">
        <v>67</v>
      </c>
      <c r="H1499">
        <v>5</v>
      </c>
      <c r="I1499">
        <v>3642</v>
      </c>
      <c r="J1499">
        <v>413</v>
      </c>
      <c r="K1499">
        <v>205</v>
      </c>
      <c r="L1499">
        <v>211</v>
      </c>
      <c r="M1499">
        <v>1.2276221856123</v>
      </c>
      <c r="N1499" t="s">
        <v>23</v>
      </c>
      <c r="O1499">
        <v>0</v>
      </c>
    </row>
    <row r="1500" spans="1:15" x14ac:dyDescent="0.35">
      <c r="A1500">
        <v>1499</v>
      </c>
      <c r="B1500" t="s">
        <v>15</v>
      </c>
      <c r="C1500" t="s">
        <v>16</v>
      </c>
      <c r="D1500" s="1">
        <v>45551</v>
      </c>
      <c r="E1500" t="s">
        <v>29</v>
      </c>
      <c r="F1500">
        <v>9</v>
      </c>
      <c r="G1500">
        <v>270</v>
      </c>
      <c r="H1500">
        <v>19</v>
      </c>
      <c r="I1500">
        <v>4787</v>
      </c>
      <c r="J1500">
        <v>746</v>
      </c>
      <c r="K1500">
        <v>530</v>
      </c>
      <c r="L1500">
        <v>125</v>
      </c>
      <c r="M1500">
        <v>1.29266764152914</v>
      </c>
      <c r="N1500" t="s">
        <v>23</v>
      </c>
      <c r="O1500">
        <v>0</v>
      </c>
    </row>
    <row r="1501" spans="1:15" x14ac:dyDescent="0.35">
      <c r="A1501">
        <v>1500</v>
      </c>
      <c r="B1501" t="s">
        <v>15</v>
      </c>
      <c r="C1501" t="s">
        <v>19</v>
      </c>
      <c r="D1501" s="1">
        <v>45475</v>
      </c>
      <c r="E1501" t="s">
        <v>17</v>
      </c>
      <c r="F1501">
        <v>17</v>
      </c>
      <c r="G1501">
        <v>264</v>
      </c>
      <c r="H1501">
        <v>8</v>
      </c>
      <c r="I1501">
        <v>2645</v>
      </c>
      <c r="J1501">
        <v>430</v>
      </c>
      <c r="K1501">
        <v>197</v>
      </c>
      <c r="L1501">
        <v>216</v>
      </c>
      <c r="M1501">
        <v>1.3187145557655899</v>
      </c>
      <c r="N1501" t="s">
        <v>23</v>
      </c>
      <c r="O15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656A-B5F8-4E16-ABAC-C994E1383694}">
  <dimension ref="A1:B5"/>
  <sheetViews>
    <sheetView workbookViewId="0">
      <selection activeCell="B6" sqref="B6"/>
    </sheetView>
  </sheetViews>
  <sheetFormatPr defaultRowHeight="14.5" x14ac:dyDescent="0.35"/>
  <cols>
    <col min="1" max="1" width="17.7265625" bestFit="1" customWidth="1"/>
  </cols>
  <sheetData>
    <row r="1" spans="1:2" x14ac:dyDescent="0.35">
      <c r="A1" t="s">
        <v>31</v>
      </c>
      <c r="B1" t="s">
        <v>32</v>
      </c>
    </row>
    <row r="2" spans="1:2" x14ac:dyDescent="0.35">
      <c r="A2" t="s">
        <v>33</v>
      </c>
      <c r="B2">
        <f>COUNTA(raw_data!A:A)-1</f>
        <v>1500</v>
      </c>
    </row>
    <row r="3" spans="1:2" x14ac:dyDescent="0.35">
      <c r="A3" t="s">
        <v>34</v>
      </c>
      <c r="B3">
        <f>ROUND(AVERAGE(raw_data!M:M), 2)</f>
        <v>2.0099999999999998</v>
      </c>
    </row>
    <row r="4" spans="1:2" x14ac:dyDescent="0.35">
      <c r="A4" t="s">
        <v>35</v>
      </c>
      <c r="B4">
        <f>ROUND(AVERAGE(raw_data!O:O)*100,2)</f>
        <v>2.5299999999999998</v>
      </c>
    </row>
    <row r="5" spans="1:2" x14ac:dyDescent="0.35">
      <c r="A5" t="s">
        <v>36</v>
      </c>
      <c r="B5">
        <f>ROUND(COUNTIF(raw_data!N:N,"high")/(COUNTA(raw_data!A:A)-1)*100,2)</f>
        <v>15.27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5BF6-2A29-4404-AAF4-E61F0A6AD81E}">
  <dimension ref="A1:H22"/>
  <sheetViews>
    <sheetView tabSelected="1" workbookViewId="0">
      <selection activeCell="E11" sqref="E11"/>
    </sheetView>
  </sheetViews>
  <sheetFormatPr defaultRowHeight="14.5" x14ac:dyDescent="0.35"/>
  <cols>
    <col min="1" max="1" width="12.453125" bestFit="1" customWidth="1"/>
    <col min="2" max="2" width="24.36328125" bestFit="1" customWidth="1"/>
    <col min="4" max="4" width="12.453125" bestFit="1" customWidth="1"/>
    <col min="5" max="5" width="24.36328125" bestFit="1" customWidth="1"/>
    <col min="7" max="7" width="12.453125" bestFit="1" customWidth="1"/>
    <col min="8" max="8" width="24.36328125" bestFit="1" customWidth="1"/>
  </cols>
  <sheetData>
    <row r="1" spans="1:8" x14ac:dyDescent="0.35">
      <c r="A1" t="s">
        <v>38</v>
      </c>
      <c r="D1" t="s">
        <v>41</v>
      </c>
      <c r="G1" t="s">
        <v>42</v>
      </c>
    </row>
    <row r="3" spans="1:8" x14ac:dyDescent="0.35">
      <c r="A3" s="3" t="s">
        <v>39</v>
      </c>
      <c r="B3" t="s">
        <v>37</v>
      </c>
      <c r="D3" s="3" t="s">
        <v>39</v>
      </c>
      <c r="E3" t="s">
        <v>37</v>
      </c>
      <c r="G3" s="3" t="s">
        <v>39</v>
      </c>
      <c r="H3" t="s">
        <v>37</v>
      </c>
    </row>
    <row r="4" spans="1:8" x14ac:dyDescent="0.35">
      <c r="A4" s="4" t="s">
        <v>22</v>
      </c>
      <c r="B4" s="2">
        <v>1.9936345967226146</v>
      </c>
      <c r="D4" s="4" t="s">
        <v>19</v>
      </c>
      <c r="E4" s="2">
        <v>1.9410771637702628</v>
      </c>
      <c r="G4" s="4">
        <v>23</v>
      </c>
      <c r="H4" s="2">
        <v>2.2524456953502265</v>
      </c>
    </row>
    <row r="5" spans="1:8" x14ac:dyDescent="0.35">
      <c r="A5" s="4" t="s">
        <v>15</v>
      </c>
      <c r="B5" s="2">
        <v>1.9772396979263271</v>
      </c>
      <c r="D5" s="4" t="s">
        <v>24</v>
      </c>
      <c r="E5" s="2">
        <v>2.0755263360919982</v>
      </c>
      <c r="G5" s="4">
        <v>22</v>
      </c>
      <c r="H5" s="2">
        <v>1.9940529930495461</v>
      </c>
    </row>
    <row r="6" spans="1:8" x14ac:dyDescent="0.35">
      <c r="A6" s="4" t="s">
        <v>26</v>
      </c>
      <c r="B6" s="2">
        <v>2.0537915925573564</v>
      </c>
      <c r="D6" s="4" t="s">
        <v>16</v>
      </c>
      <c r="E6" s="2">
        <v>2.0082552818533723</v>
      </c>
      <c r="G6" s="4">
        <v>21</v>
      </c>
      <c r="H6" s="2">
        <v>2.0288192968960743</v>
      </c>
    </row>
    <row r="7" spans="1:8" x14ac:dyDescent="0.35">
      <c r="A7" s="4" t="s">
        <v>40</v>
      </c>
      <c r="B7" s="2">
        <v>2.0081963180031481</v>
      </c>
      <c r="D7" s="4" t="s">
        <v>40</v>
      </c>
      <c r="E7" s="2">
        <v>2.0081963180031464</v>
      </c>
      <c r="G7" s="4">
        <v>20</v>
      </c>
      <c r="H7" s="2">
        <v>2.2247713668508382</v>
      </c>
    </row>
    <row r="8" spans="1:8" x14ac:dyDescent="0.35">
      <c r="G8" s="4">
        <v>19</v>
      </c>
      <c r="H8" s="2">
        <v>2.1411271424837257</v>
      </c>
    </row>
    <row r="9" spans="1:8" x14ac:dyDescent="0.35">
      <c r="G9" s="4">
        <v>18</v>
      </c>
      <c r="H9" s="2">
        <v>1.9997884152483725</v>
      </c>
    </row>
    <row r="10" spans="1:8" x14ac:dyDescent="0.35">
      <c r="G10" s="4">
        <v>17</v>
      </c>
      <c r="H10" s="2">
        <v>1.8783794421241846</v>
      </c>
    </row>
    <row r="11" spans="1:8" x14ac:dyDescent="0.35">
      <c r="G11" s="4">
        <v>16</v>
      </c>
      <c r="H11" s="2">
        <v>1.7094581518895096</v>
      </c>
    </row>
    <row r="12" spans="1:8" x14ac:dyDescent="0.35">
      <c r="G12" s="4">
        <v>15</v>
      </c>
      <c r="H12" s="2">
        <v>1.8518022545941966</v>
      </c>
    </row>
    <row r="13" spans="1:8" x14ac:dyDescent="0.35">
      <c r="G13" s="4">
        <v>14</v>
      </c>
      <c r="H13" s="2">
        <v>2.0319145654013862</v>
      </c>
    </row>
    <row r="14" spans="1:8" x14ac:dyDescent="0.35">
      <c r="G14" s="4">
        <v>13</v>
      </c>
      <c r="H14" s="2">
        <v>1.9186188614008608</v>
      </c>
    </row>
    <row r="15" spans="1:8" x14ac:dyDescent="0.35">
      <c r="G15" s="4">
        <v>12</v>
      </c>
      <c r="H15" s="2">
        <v>1.8426717697714261</v>
      </c>
    </row>
    <row r="16" spans="1:8" x14ac:dyDescent="0.35">
      <c r="G16" s="4">
        <v>11</v>
      </c>
      <c r="H16" s="2">
        <v>2.0705328856333116</v>
      </c>
    </row>
    <row r="17" spans="7:8" x14ac:dyDescent="0.35">
      <c r="G17" s="4">
        <v>10</v>
      </c>
      <c r="H17" s="2">
        <v>1.7886084098347306</v>
      </c>
    </row>
    <row r="18" spans="7:8" x14ac:dyDescent="0.35">
      <c r="G18" s="4">
        <v>9</v>
      </c>
      <c r="H18" s="2">
        <v>1.8208081439388655</v>
      </c>
    </row>
    <row r="19" spans="7:8" x14ac:dyDescent="0.35">
      <c r="G19" s="4">
        <v>8</v>
      </c>
      <c r="H19" s="2">
        <v>2.092408881489082</v>
      </c>
    </row>
    <row r="20" spans="7:8" x14ac:dyDescent="0.35">
      <c r="G20" s="4">
        <v>7</v>
      </c>
      <c r="H20" s="2">
        <v>2.0424512876107315</v>
      </c>
    </row>
    <row r="21" spans="7:8" x14ac:dyDescent="0.35">
      <c r="G21" s="4">
        <v>6</v>
      </c>
      <c r="H21" s="2">
        <v>2.4991412824028592</v>
      </c>
    </row>
    <row r="22" spans="7:8" x14ac:dyDescent="0.35">
      <c r="G22" s="4" t="s">
        <v>40</v>
      </c>
      <c r="H22" s="2">
        <v>2.008196318003145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KPIs</vt:lpstr>
      <vt:lpstr>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vidisha gupta</dc:creator>
  <cp:lastModifiedBy>vidisha gupta</cp:lastModifiedBy>
  <dcterms:created xsi:type="dcterms:W3CDTF">2025-12-22T12:38:30Z</dcterms:created>
  <dcterms:modified xsi:type="dcterms:W3CDTF">2025-12-24T09:30:08Z</dcterms:modified>
</cp:coreProperties>
</file>